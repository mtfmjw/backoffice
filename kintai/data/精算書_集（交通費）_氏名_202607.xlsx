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33724\Downloads\"/>
    </mc:Choice>
  </mc:AlternateContent>
  <xr:revisionPtr revIDLastSave="0" documentId="13_ncr:1_{EDDB4A97-633C-4CDA-87C8-2B0966BD7A14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精算書（交通費）" sheetId="1" r:id="rId1"/>
    <sheet name="記入例" sheetId="2" r:id="rId2"/>
    <sheet name="集計シート" sheetId="3" state="hidden" r:id="rId3"/>
    <sheet name="部門" sheetId="4" state="hidden" r:id="rId4"/>
  </sheets>
  <definedNames>
    <definedName name="_xlnm.Print_Area" localSheetId="1">記入例!$B$1:$AM$67</definedName>
    <definedName name="_xlnm.Print_Area" localSheetId="0">'精算書（交通費）'!$A$1:$AL$61</definedName>
    <definedName name="仮払金額" localSheetId="1">記入例!$AJ$6</definedName>
    <definedName name="仮払金額" localSheetId="0">'精算書（交通費）'!$AI$6</definedName>
    <definedName name="仮払金額">#REF!</definedName>
    <definedName name="会社名" localSheetId="1">記入例!$R$4</definedName>
    <definedName name="会社名" localSheetId="0">'精算書（交通費）'!$Q$4</definedName>
    <definedName name="会社名">#REF!</definedName>
    <definedName name="合計金額" localSheetId="1">記入例!#REF!</definedName>
    <definedName name="合計金額" localSheetId="0">'精算書（交通費）'!#REF!</definedName>
    <definedName name="合計金額">#REF!</definedName>
    <definedName name="精算区分" localSheetId="1">記入例!$Z$4</definedName>
    <definedName name="精算区分" localSheetId="0">'精算書（交通費）'!$Y$4</definedName>
    <definedName name="精算区分">#REF!</definedName>
    <definedName name="部門">部門!$A$3:$A$14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S4" i="3" l="1"/>
  <c r="Q4" i="3"/>
  <c r="E4" i="3"/>
  <c r="D4" i="3"/>
  <c r="F4" i="3" s="1"/>
  <c r="J4" i="3" s="1"/>
  <c r="C4" i="3"/>
  <c r="B4" i="3"/>
  <c r="M4" i="3" s="1"/>
  <c r="S3" i="3"/>
  <c r="Q3" i="3"/>
  <c r="M3" i="3"/>
  <c r="E3" i="3"/>
  <c r="D3" i="3"/>
  <c r="F3" i="3" s="1"/>
  <c r="J3" i="3" s="1"/>
  <c r="C3" i="3"/>
  <c r="B3" i="3"/>
  <c r="S2" i="3"/>
  <c r="Q2" i="3"/>
  <c r="M2" i="3"/>
  <c r="E2" i="3"/>
  <c r="D2" i="3"/>
  <c r="F2" i="3" s="1"/>
  <c r="J2" i="3" s="1"/>
  <c r="C2" i="3"/>
  <c r="B2" i="3"/>
  <c r="T55" i="2"/>
  <c r="V50" i="2"/>
  <c r="AG49" i="2"/>
  <c r="X49" i="2"/>
  <c r="T49" i="2"/>
  <c r="V48" i="2"/>
  <c r="AG47" i="2"/>
  <c r="X47" i="2"/>
  <c r="T47" i="2"/>
  <c r="V46" i="2"/>
  <c r="AG45" i="2"/>
  <c r="X45" i="2"/>
  <c r="T45" i="2"/>
  <c r="V44" i="2"/>
  <c r="AG43" i="2"/>
  <c r="X43" i="2"/>
  <c r="T43" i="2"/>
  <c r="V42" i="2"/>
  <c r="AG41" i="2"/>
  <c r="X41" i="2"/>
  <c r="T41" i="2"/>
  <c r="V40" i="2"/>
  <c r="AG39" i="2"/>
  <c r="X39" i="2"/>
  <c r="T39" i="2"/>
  <c r="V38" i="2"/>
  <c r="AG37" i="2"/>
  <c r="X37" i="2"/>
  <c r="T37" i="2"/>
  <c r="V36" i="2"/>
  <c r="AG35" i="2"/>
  <c r="X35" i="2"/>
  <c r="T35" i="2"/>
  <c r="V34" i="2"/>
  <c r="AG33" i="2"/>
  <c r="X33" i="2"/>
  <c r="T33" i="2"/>
  <c r="V32" i="2"/>
  <c r="AG31" i="2"/>
  <c r="X31" i="2"/>
  <c r="T31" i="2"/>
  <c r="V30" i="2"/>
  <c r="AG29" i="2"/>
  <c r="X29" i="2"/>
  <c r="T29" i="2"/>
  <c r="V28" i="2"/>
  <c r="AG27" i="2"/>
  <c r="X27" i="2"/>
  <c r="T27" i="2"/>
  <c r="V26" i="2"/>
  <c r="AG25" i="2"/>
  <c r="X25" i="2"/>
  <c r="T25" i="2"/>
  <c r="V24" i="2"/>
  <c r="AG23" i="2"/>
  <c r="X23" i="2"/>
  <c r="T23" i="2"/>
  <c r="V22" i="2"/>
  <c r="AG21" i="2"/>
  <c r="X21" i="2"/>
  <c r="T21" i="2"/>
  <c r="V20" i="2"/>
  <c r="AG19" i="2"/>
  <c r="X19" i="2"/>
  <c r="T19" i="2"/>
  <c r="V18" i="2"/>
  <c r="AG17" i="2"/>
  <c r="X17" i="2"/>
  <c r="T17" i="2"/>
  <c r="V16" i="2"/>
  <c r="AG15" i="2"/>
  <c r="X15" i="2"/>
  <c r="T15" i="2"/>
  <c r="V14" i="2"/>
  <c r="AG13" i="2"/>
  <c r="X13" i="2"/>
  <c r="T13" i="2"/>
  <c r="V12" i="2"/>
  <c r="AG11" i="2"/>
  <c r="X11" i="2"/>
  <c r="T11" i="2"/>
  <c r="V10" i="2"/>
  <c r="AG9" i="2"/>
  <c r="AB53" i="2" s="1"/>
  <c r="X9" i="2"/>
  <c r="T9" i="2"/>
  <c r="AH4" i="2"/>
  <c r="AR1" i="2"/>
  <c r="S49" i="1"/>
  <c r="N4" i="3" s="1"/>
  <c r="AF43" i="1"/>
  <c r="AF41" i="1"/>
  <c r="AF39" i="1"/>
  <c r="AF37" i="1"/>
  <c r="AF35" i="1"/>
  <c r="AF33" i="1"/>
  <c r="AF31" i="1"/>
  <c r="AF29" i="1"/>
  <c r="AF27" i="1"/>
  <c r="AF25" i="1"/>
  <c r="AF23" i="1"/>
  <c r="AF21" i="1"/>
  <c r="AF19" i="1"/>
  <c r="AF17" i="1"/>
  <c r="AF15" i="1"/>
  <c r="AF13" i="1"/>
  <c r="AF11" i="1"/>
  <c r="AF9" i="1"/>
  <c r="AA47" i="1" s="1"/>
  <c r="AG4" i="1"/>
  <c r="AQ1" i="1"/>
  <c r="W48" i="1" l="1" a="1"/>
  <c r="W48" i="1" s="1"/>
  <c r="S48" i="1" s="1"/>
  <c r="N3" i="3" s="1"/>
  <c r="W47" i="1" a="1"/>
  <c r="W47" i="1" s="1"/>
  <c r="S47" i="1" s="1"/>
  <c r="N2" i="3" s="1"/>
  <c r="X54" i="2" a="1"/>
  <c r="X54" i="2" s="1"/>
  <c r="T54" i="2" s="1"/>
  <c r="X53" i="2" a="1"/>
  <c r="X53" i="2" s="1"/>
  <c r="T53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N8" authorId="0" shapeId="0" xr:uid="{00000000-0006-0000-0000-000001000000}">
      <text>
        <r>
          <rPr>
            <sz val="10"/>
            <rFont val="Noto Sans JP"/>
            <family val="2"/>
            <charset val="128"/>
          </rPr>
          <t>■経路
◇電車の場合
　→上の段：駅名を入力してください
　→下の段：鉄道会社名を入力してください
◇バスの場合
　→上の段：停留所名を入力してください
　→下の段：バス会社名を入力してください
◇タクシーの場合
　→上の段：出発</t>
        </r>
        <r>
          <rPr>
            <sz val="10"/>
            <rFont val="Arial"/>
            <family val="2"/>
            <charset val="128"/>
          </rPr>
          <t>/</t>
        </r>
        <r>
          <rPr>
            <sz val="10"/>
            <rFont val="Noto Sans JP"/>
            <family val="2"/>
            <charset val="128"/>
          </rPr>
          <t>到着地点を入力してください
　→下の段：入力しないでください</t>
        </r>
      </text>
    </comment>
    <comment ref="AD8" authorId="0" shapeId="0" xr:uid="{00000000-0006-0000-0000-000002000000}">
      <text>
        <r>
          <rPr>
            <sz val="10"/>
            <rFont val="Noto Sans JP"/>
            <family val="2"/>
            <charset val="128"/>
          </rPr>
          <t>■</t>
        </r>
        <r>
          <rPr>
            <b/>
            <sz val="8"/>
            <color rgb="FF000000"/>
            <rFont val="ＭＳ Ｐゴシック"/>
            <family val="3"/>
            <charset val="128"/>
          </rPr>
          <t xml:space="preserve">往復
</t>
        </r>
        <r>
          <rPr>
            <sz val="8"/>
            <color rgb="FF000000"/>
            <rFont val="ＭＳ Ｐゴシック"/>
            <family val="3"/>
            <charset val="128"/>
          </rPr>
          <t>電車・バスで同じ経路を往復した
場合は『●』を選択してください</t>
        </r>
      </text>
    </comment>
    <comment ref="AJ8" authorId="0" shapeId="0" xr:uid="{00000000-0006-0000-0000-000003000000}">
      <text>
        <r>
          <rPr>
            <sz val="10"/>
            <rFont val="Noto Sans JP"/>
            <family val="2"/>
            <charset val="128"/>
          </rPr>
          <t>■</t>
        </r>
        <r>
          <rPr>
            <b/>
            <sz val="8"/>
            <color rgb="FF000000"/>
            <rFont val="ＭＳ Ｐゴシック"/>
            <family val="3"/>
            <charset val="128"/>
          </rPr>
          <t xml:space="preserve">領収証について
</t>
        </r>
        <r>
          <rPr>
            <sz val="8"/>
            <color rgb="FF000000"/>
            <rFont val="ＭＳ Ｐゴシック"/>
            <family val="3"/>
            <charset val="128"/>
          </rPr>
          <t>◇</t>
        </r>
        <r>
          <rPr>
            <b/>
            <sz val="8"/>
            <color rgb="FF000000"/>
            <rFont val="ＭＳ Ｐゴシック"/>
            <family val="3"/>
            <charset val="128"/>
          </rPr>
          <t xml:space="preserve">電車・バスの場合
</t>
        </r>
        <r>
          <rPr>
            <sz val="8"/>
            <color rgb="FF000000"/>
            <rFont val="ＭＳ Ｐゴシック"/>
            <family val="3"/>
            <charset val="128"/>
          </rPr>
          <t>　→１区間の片道金額が3,000円以上の場合は必ず領収証を添付してください
◇</t>
        </r>
        <r>
          <rPr>
            <b/>
            <sz val="8"/>
            <color rgb="FF000000"/>
            <rFont val="ＭＳ Ｐゴシック"/>
            <family val="3"/>
            <charset val="128"/>
          </rPr>
          <t xml:space="preserve">タクシーの場合
</t>
        </r>
        <r>
          <rPr>
            <sz val="8"/>
            <color rgb="FF000000"/>
            <rFont val="ＭＳ Ｐゴシック"/>
            <family val="3"/>
            <charset val="128"/>
          </rPr>
          <t>　→必ず領収証を添付してください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O8" authorId="0" shapeId="0" xr:uid="{00000000-0006-0000-0100-000001000000}">
      <text>
        <r>
          <rPr>
            <sz val="10"/>
            <rFont val="Noto Sans JP"/>
            <family val="2"/>
            <charset val="128"/>
          </rPr>
          <t>■経路
◇電車の場合
　→上の段：駅名を入力してください
　→下の段：鉄道会社名を入力してください
◇バスの場合
　→上の段：停留所名を入力してください
　→下の段：バス会社名を入力してください
◇タクシーの場合
　→上の段：出発</t>
        </r>
        <r>
          <rPr>
            <sz val="10"/>
            <rFont val="Arial"/>
            <family val="2"/>
            <charset val="128"/>
          </rPr>
          <t>/</t>
        </r>
        <r>
          <rPr>
            <sz val="10"/>
            <rFont val="Noto Sans JP"/>
            <family val="2"/>
            <charset val="128"/>
          </rPr>
          <t>到着地点を入力してください
　→下の段：入力しないでください</t>
        </r>
      </text>
    </comment>
    <comment ref="AE8" authorId="0" shapeId="0" xr:uid="{00000000-0006-0000-0100-000002000000}">
      <text>
        <r>
          <rPr>
            <sz val="10"/>
            <rFont val="Noto Sans JP"/>
            <family val="2"/>
            <charset val="128"/>
          </rPr>
          <t>■</t>
        </r>
        <r>
          <rPr>
            <b/>
            <sz val="8"/>
            <color rgb="FF000000"/>
            <rFont val="ＭＳ Ｐゴシック"/>
            <family val="3"/>
            <charset val="128"/>
          </rPr>
          <t xml:space="preserve">往復
</t>
        </r>
        <r>
          <rPr>
            <sz val="8"/>
            <color rgb="FF000000"/>
            <rFont val="ＭＳ Ｐゴシック"/>
            <family val="3"/>
            <charset val="128"/>
          </rPr>
          <t>電車・バスで同じ経路を往復した
場合は『●』を選択してください</t>
        </r>
      </text>
    </comment>
    <comment ref="AK8" authorId="0" shapeId="0" xr:uid="{00000000-0006-0000-0100-000003000000}">
      <text>
        <r>
          <rPr>
            <sz val="10"/>
            <rFont val="Noto Sans JP"/>
            <family val="2"/>
            <charset val="128"/>
          </rPr>
          <t>■</t>
        </r>
        <r>
          <rPr>
            <b/>
            <sz val="8"/>
            <color rgb="FF000000"/>
            <rFont val="ＭＳ Ｐゴシック"/>
            <family val="3"/>
            <charset val="128"/>
          </rPr>
          <t xml:space="preserve">領収証について
</t>
        </r>
        <r>
          <rPr>
            <sz val="8"/>
            <color rgb="FF000000"/>
            <rFont val="ＭＳ Ｐゴシック"/>
            <family val="3"/>
            <charset val="128"/>
          </rPr>
          <t>◇</t>
        </r>
        <r>
          <rPr>
            <b/>
            <sz val="8"/>
            <color rgb="FF000000"/>
            <rFont val="ＭＳ Ｐゴシック"/>
            <family val="3"/>
            <charset val="128"/>
          </rPr>
          <t xml:space="preserve">電車・バスの場合
</t>
        </r>
        <r>
          <rPr>
            <sz val="8"/>
            <color rgb="FF000000"/>
            <rFont val="ＭＳ Ｐゴシック"/>
            <family val="3"/>
            <charset val="128"/>
          </rPr>
          <t>　→１区間の片道金額が3,000円以上の場合は必ず領収証を添付してください
◇</t>
        </r>
        <r>
          <rPr>
            <b/>
            <sz val="8"/>
            <color rgb="FF000000"/>
            <rFont val="ＭＳ Ｐゴシック"/>
            <family val="3"/>
            <charset val="128"/>
          </rPr>
          <t xml:space="preserve">タクシーの場合
</t>
        </r>
        <r>
          <rPr>
            <sz val="8"/>
            <color rgb="FF000000"/>
            <rFont val="ＭＳ Ｐゴシック"/>
            <family val="3"/>
            <charset val="128"/>
          </rPr>
          <t>　→必ず領収証を添付してください</t>
        </r>
      </text>
    </comment>
  </commentList>
</comments>
</file>

<file path=xl/sharedStrings.xml><?xml version="1.0" encoding="utf-8"?>
<sst xmlns="http://schemas.openxmlformats.org/spreadsheetml/2006/main" count="402" uniqueCount="101">
  <si>
    <t>精算書（交通費）</t>
  </si>
  <si>
    <t>㈱リーディングソフト</t>
  </si>
  <si>
    <t>決裁承認</t>
  </si>
  <si>
    <t>検印</t>
  </si>
  <si>
    <t>申請者</t>
  </si>
  <si>
    <t>部門</t>
  </si>
  <si>
    <t>社員番号</t>
  </si>
  <si>
    <t>氏名</t>
  </si>
  <si>
    <t>作成日</t>
  </si>
  <si>
    <t>カスタマサポートエンジニアリング部</t>
  </si>
  <si>
    <t>玉城基文</t>
  </si>
  <si>
    <t>印</t>
  </si>
  <si>
    <t>発生日</t>
  </si>
  <si>
    <t>目的・訪問先</t>
  </si>
  <si>
    <t>交通手段</t>
  </si>
  <si>
    <t>経路</t>
  </si>
  <si>
    <t>片道金額
（IC運賃）</t>
  </si>
  <si>
    <t>往復</t>
  </si>
  <si>
    <t>小計</t>
  </si>
  <si>
    <t>領収証No.</t>
  </si>
  <si>
    <t>目的</t>
  </si>
  <si>
    <t>その他会社業務</t>
  </si>
  <si>
    <t>電車・バス</t>
  </si>
  <si>
    <t>駅名</t>
  </si>
  <si>
    <t>八千代緑が丘</t>
  </si>
  <si>
    <t>～</t>
  </si>
  <si>
    <t>日本橋</t>
  </si>
  <si>
    <t>青物横丁</t>
  </si>
  <si>
    <t>●</t>
  </si>
  <si>
    <t>訪問先</t>
  </si>
  <si>
    <t>本社</t>
  </si>
  <si>
    <t>路線名</t>
  </si>
  <si>
    <t>東葉高速</t>
  </si>
  <si>
    <t>京急本線</t>
  </si>
  <si>
    <t>・</t>
  </si>
  <si>
    <t>管理部使用欄</t>
  </si>
  <si>
    <t>合計金額</t>
  </si>
  <si>
    <t xml:space="preserve">           　旅費交通費</t>
  </si>
  <si>
    <t xml:space="preserve"> </t>
  </si>
  <si>
    <t xml:space="preserve">       電車バス</t>
  </si>
  <si>
    <t>タクシー</t>
  </si>
  <si>
    <t xml:space="preserve">       タクシー</t>
  </si>
  <si>
    <t>-</t>
  </si>
  <si>
    <t xml:space="preserve">           　接待交際費</t>
  </si>
  <si>
    <t xml:space="preserve">       他接待交際費</t>
  </si>
  <si>
    <t>承認</t>
  </si>
  <si>
    <t>支払処理</t>
  </si>
  <si>
    <t>伝票入力処理日</t>
  </si>
  <si>
    <t>　日付</t>
  </si>
  <si>
    <t>担当</t>
  </si>
  <si>
    <t>支払確認</t>
  </si>
  <si>
    <t>入力担当</t>
  </si>
  <si>
    <t>伝票番号</t>
  </si>
  <si>
    <t>相手科目</t>
  </si>
  <si>
    <t>現金</t>
  </si>
  <si>
    <t>当座預金</t>
  </si>
  <si>
    <t>未払金</t>
  </si>
  <si>
    <t>　その他</t>
  </si>
  <si>
    <t>記入要領：精算書（交通費）</t>
  </si>
  <si>
    <t>※黄色の欄だけ入力してください</t>
  </si>
  <si>
    <t>財務経理部</t>
  </si>
  <si>
    <t>○○　●●</t>
  </si>
  <si>
    <t>片道金額</t>
  </si>
  <si>
    <t>研修・セミナー参加</t>
  </si>
  <si>
    <t>品川シーサイド</t>
  </si>
  <si>
    <t>東京</t>
  </si>
  <si>
    <t>新日本監査法人</t>
  </si>
  <si>
    <t>りんかい線・ＪＲ</t>
  </si>
  <si>
    <t>深夜帰宅</t>
  </si>
  <si>
    <t>自宅</t>
  </si>
  <si>
    <t>個人精算区分</t>
  </si>
  <si>
    <t>名前</t>
  </si>
  <si>
    <t>負担部門</t>
  </si>
  <si>
    <t>開発区分</t>
  </si>
  <si>
    <t>勘定項目1</t>
  </si>
  <si>
    <t>勘定項目2</t>
  </si>
  <si>
    <t>勘定項目3</t>
  </si>
  <si>
    <t>勘定項目</t>
  </si>
  <si>
    <t>補助項目1</t>
  </si>
  <si>
    <t>補助項目2</t>
  </si>
  <si>
    <t>補助項目</t>
  </si>
  <si>
    <t>金額</t>
  </si>
  <si>
    <t>支払先</t>
  </si>
  <si>
    <t>税区分</t>
  </si>
  <si>
    <t>摘要</t>
  </si>
  <si>
    <t>プロジェクトコード:名称</t>
  </si>
  <si>
    <t>ファイル名</t>
  </si>
  <si>
    <t>交通費</t>
  </si>
  <si>
    <t>旅費交通費</t>
  </si>
  <si>
    <t>課対仕入内10%適格</t>
  </si>
  <si>
    <t>交際費</t>
  </si>
  <si>
    <t>部門名称一覧</t>
  </si>
  <si>
    <t>部門
名前の定義：部門</t>
  </si>
  <si>
    <t>有効フラグ</t>
  </si>
  <si>
    <t>取締役会</t>
  </si>
  <si>
    <t>営業部</t>
  </si>
  <si>
    <t>管理部</t>
  </si>
  <si>
    <t>開発本部</t>
  </si>
  <si>
    <t>ソリューション開発部</t>
  </si>
  <si>
    <t>プラットフォーム開発部</t>
  </si>
  <si>
    <t>ソフトウェアサービス部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</si>
</sst>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0000"/>
    <numFmt numFmtId="177" formatCode="[$-1030411]ggge&quot;年&quot;mm&quot;月&quot;dd&quot;日&quot;"/>
    <numFmt numFmtId="178" formatCode="yyyy/mm/dd"/>
    <numFmt numFmtId="179" formatCode="m/d"/>
    <numFmt numFmtId="180" formatCode="_ * #,##0_ ;_ * \-#,##0_ ;_ * \-_ ;_ @_ "/>
    <numFmt numFmtId="181" formatCode="yyyy&quot;年&quot;m&quot;月&quot;d&quot;日&quot;;@"/>
  </numFmts>
  <fonts count="17" x14ac:knownFonts="1">
    <font>
      <sz val="11"/>
      <name val="ＭＳ Ｐゴシック"/>
      <family val="3"/>
      <charset val="128"/>
    </font>
    <font>
      <sz val="18"/>
      <name val="ＭＳ Ｐゴシック"/>
      <family val="3"/>
      <charset val="128"/>
    </font>
    <font>
      <sz val="8"/>
      <name val="ＭＳ Ｐゴシック"/>
      <family val="3"/>
      <charset val="128"/>
    </font>
    <font>
      <b/>
      <sz val="10"/>
      <name val="ＭＳ Ｐゴシック"/>
      <family val="3"/>
      <charset val="128"/>
    </font>
    <font>
      <b/>
      <sz val="8"/>
      <color rgb="FFFF0000"/>
      <name val="ＭＳ Ｐゴシック"/>
      <family val="3"/>
      <charset val="128"/>
    </font>
    <font>
      <sz val="9"/>
      <name val="ＭＳ Ｐゴシック"/>
      <family val="3"/>
      <charset val="128"/>
    </font>
    <font>
      <sz val="10"/>
      <name val="ＭＳ Ｐゴシック"/>
      <family val="3"/>
      <charset val="128"/>
    </font>
    <font>
      <b/>
      <sz val="8"/>
      <name val="ＭＳ Ｐゴシック"/>
      <family val="3"/>
      <charset val="128"/>
    </font>
    <font>
      <b/>
      <sz val="11"/>
      <color rgb="FFFFFFFF"/>
      <name val="ＭＳ Ｐゴシック"/>
      <family val="3"/>
      <charset val="128"/>
    </font>
    <font>
      <b/>
      <sz val="11"/>
      <name val="ＭＳ Ｐゴシック"/>
      <family val="3"/>
      <charset val="128"/>
    </font>
    <font>
      <b/>
      <sz val="9"/>
      <name val="ＭＳ Ｐゴシック"/>
      <family val="3"/>
      <charset val="128"/>
    </font>
    <font>
      <sz val="10"/>
      <name val="Noto Sans JP"/>
      <family val="2"/>
      <charset val="128"/>
    </font>
    <font>
      <sz val="10"/>
      <name val="Arial"/>
      <family val="2"/>
      <charset val="128"/>
    </font>
    <font>
      <b/>
      <sz val="8"/>
      <color rgb="FF000000"/>
      <name val="ＭＳ Ｐゴシック"/>
      <family val="3"/>
      <charset val="128"/>
    </font>
    <font>
      <sz val="8"/>
      <color rgb="FF000000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</fonts>
  <fills count="7">
    <fill>
      <patternFill patternType="none"/>
    </fill>
    <fill>
      <patternFill patternType="gray125"/>
    </fill>
    <fill>
      <patternFill patternType="solid">
        <fgColor rgb="FFCCFFFF"/>
        <bgColor rgb="FFCCFFFF"/>
      </patternFill>
    </fill>
    <fill>
      <patternFill patternType="solid">
        <fgColor rgb="FFFFFF99"/>
        <bgColor rgb="FFFFFFCC"/>
      </patternFill>
    </fill>
    <fill>
      <patternFill patternType="solid">
        <fgColor rgb="FFCCFFCC"/>
        <bgColor rgb="FFCCFFFF"/>
      </patternFill>
    </fill>
    <fill>
      <patternFill patternType="solid">
        <fgColor theme="0"/>
        <bgColor rgb="FFFFFFCC"/>
      </patternFill>
    </fill>
    <fill>
      <patternFill patternType="solid">
        <fgColor rgb="FFFFFFCC"/>
        <bgColor rgb="FFFFFFFF"/>
      </patternFill>
    </fill>
  </fills>
  <borders count="3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</borders>
  <cellStyleXfs count="3">
    <xf numFmtId="0" fontId="0" fillId="0" borderId="0"/>
    <xf numFmtId="38" fontId="15" fillId="0" borderId="0" applyBorder="0" applyProtection="0"/>
    <xf numFmtId="38" fontId="15" fillId="0" borderId="0" applyBorder="0" applyProtection="0"/>
  </cellStyleXfs>
  <cellXfs count="131">
    <xf numFmtId="0" fontId="0" fillId="0" borderId="0" xfId="0"/>
    <xf numFmtId="0" fontId="0" fillId="0" borderId="0" xfId="0" applyProtection="1">
      <protection hidden="1"/>
    </xf>
    <xf numFmtId="0" fontId="4" fillId="0" borderId="0" xfId="0" applyFont="1" applyAlignment="1" applyProtection="1">
      <alignment vertical="center"/>
      <protection hidden="1"/>
    </xf>
    <xf numFmtId="0" fontId="0" fillId="0" borderId="0" xfId="0" applyAlignment="1" applyProtection="1">
      <alignment vertical="center"/>
      <protection hidden="1"/>
    </xf>
    <xf numFmtId="0" fontId="6" fillId="0" borderId="0" xfId="0" applyFont="1"/>
    <xf numFmtId="0" fontId="5" fillId="0" borderId="0" xfId="0" applyFont="1"/>
    <xf numFmtId="0" fontId="5" fillId="0" borderId="3" xfId="0" applyFont="1" applyBorder="1"/>
    <xf numFmtId="0" fontId="2" fillId="0" borderId="0" xfId="0" applyFont="1" applyAlignment="1" applyProtection="1">
      <alignment horizontal="center"/>
      <protection hidden="1"/>
    </xf>
    <xf numFmtId="0" fontId="2" fillId="2" borderId="0" xfId="0" applyFont="1" applyFill="1" applyAlignment="1" applyProtection="1">
      <alignment horizontal="center"/>
      <protection hidden="1"/>
    </xf>
    <xf numFmtId="0" fontId="2" fillId="0" borderId="8" xfId="0" applyFont="1" applyBorder="1" applyAlignment="1" applyProtection="1">
      <alignment horizontal="center" vertical="center" shrinkToFit="1"/>
      <protection locked="0" hidden="1"/>
    </xf>
    <xf numFmtId="0" fontId="2" fillId="0" borderId="8" xfId="0" applyFont="1" applyBorder="1" applyAlignment="1" applyProtection="1">
      <alignment horizontal="center" vertical="center" shrinkToFit="1"/>
      <protection locked="0"/>
    </xf>
    <xf numFmtId="0" fontId="2" fillId="0" borderId="0" xfId="0" applyFont="1" applyProtection="1">
      <protection hidden="1"/>
    </xf>
    <xf numFmtId="0" fontId="2" fillId="0" borderId="13" xfId="0" applyFont="1" applyBorder="1" applyAlignment="1" applyProtection="1">
      <alignment horizontal="center" vertical="center" shrinkToFit="1"/>
      <protection locked="0" hidden="1"/>
    </xf>
    <xf numFmtId="179" fontId="2" fillId="0" borderId="0" xfId="0" applyNumberFormat="1" applyFont="1" applyAlignment="1" applyProtection="1">
      <alignment horizontal="center" vertical="center"/>
      <protection hidden="1"/>
    </xf>
    <xf numFmtId="38" fontId="2" fillId="0" borderId="0" xfId="0" applyNumberFormat="1" applyFont="1" applyAlignment="1" applyProtection="1">
      <alignment horizontal="right" vertical="center"/>
      <protection hidden="1"/>
    </xf>
    <xf numFmtId="0" fontId="2" fillId="0" borderId="0" xfId="0" applyFont="1" applyAlignment="1" applyProtection="1">
      <alignment horizontal="center" vertical="center"/>
      <protection hidden="1"/>
    </xf>
    <xf numFmtId="0" fontId="5" fillId="0" borderId="18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5" fillId="0" borderId="19" xfId="0" applyFont="1" applyBorder="1" applyAlignment="1">
      <alignment vertical="center"/>
    </xf>
    <xf numFmtId="38" fontId="2" fillId="0" borderId="16" xfId="2" applyFont="1" applyBorder="1" applyAlignment="1" applyProtection="1">
      <alignment vertical="center"/>
    </xf>
    <xf numFmtId="38" fontId="2" fillId="0" borderId="20" xfId="2" applyFont="1" applyBorder="1" applyAlignment="1" applyProtection="1">
      <alignment vertical="center"/>
    </xf>
    <xf numFmtId="0" fontId="2" fillId="0" borderId="20" xfId="2" applyNumberFormat="1" applyFont="1" applyBorder="1" applyAlignment="1" applyProtection="1">
      <alignment vertical="center"/>
    </xf>
    <xf numFmtId="0" fontId="2" fillId="0" borderId="21" xfId="2" applyNumberFormat="1" applyFont="1" applyBorder="1" applyAlignment="1" applyProtection="1">
      <alignment vertical="center"/>
    </xf>
    <xf numFmtId="0" fontId="8" fillId="0" borderId="18" xfId="0" applyFont="1" applyBorder="1" applyAlignment="1">
      <alignment vertical="center"/>
    </xf>
    <xf numFmtId="0" fontId="8" fillId="0" borderId="0" xfId="0" applyFont="1" applyAlignment="1">
      <alignment vertical="center"/>
    </xf>
    <xf numFmtId="0" fontId="9" fillId="0" borderId="19" xfId="0" applyFont="1" applyBorder="1" applyAlignment="1">
      <alignment vertical="center"/>
    </xf>
    <xf numFmtId="38" fontId="2" fillId="0" borderId="22" xfId="2" applyFont="1" applyBorder="1" applyAlignment="1" applyProtection="1">
      <alignment vertical="center"/>
    </xf>
    <xf numFmtId="38" fontId="2" fillId="0" borderId="23" xfId="2" applyFont="1" applyBorder="1" applyAlignment="1" applyProtection="1">
      <alignment vertical="center"/>
    </xf>
    <xf numFmtId="0" fontId="2" fillId="0" borderId="23" xfId="2" applyNumberFormat="1" applyFont="1" applyBorder="1" applyAlignment="1" applyProtection="1">
      <alignment vertical="center"/>
    </xf>
    <xf numFmtId="0" fontId="2" fillId="0" borderId="24" xfId="2" applyNumberFormat="1" applyFont="1" applyBorder="1" applyAlignment="1" applyProtection="1">
      <alignment vertical="center"/>
    </xf>
    <xf numFmtId="38" fontId="2" fillId="0" borderId="26" xfId="2" applyFont="1" applyBorder="1" applyAlignment="1" applyProtection="1">
      <alignment vertical="center"/>
    </xf>
    <xf numFmtId="38" fontId="2" fillId="0" borderId="27" xfId="2" applyFont="1" applyBorder="1" applyAlignment="1" applyProtection="1">
      <alignment vertical="center"/>
    </xf>
    <xf numFmtId="0" fontId="2" fillId="0" borderId="27" xfId="2" applyNumberFormat="1" applyFont="1" applyBorder="1" applyAlignment="1" applyProtection="1">
      <alignment vertical="center"/>
    </xf>
    <xf numFmtId="0" fontId="2" fillId="0" borderId="28" xfId="2" applyNumberFormat="1" applyFont="1" applyBorder="1" applyAlignment="1" applyProtection="1">
      <alignment vertical="center"/>
    </xf>
    <xf numFmtId="0" fontId="9" fillId="0" borderId="0" xfId="0" applyFont="1" applyAlignment="1">
      <alignment vertical="center"/>
    </xf>
    <xf numFmtId="38" fontId="10" fillId="0" borderId="29" xfId="2" applyFont="1" applyBorder="1" applyAlignment="1" applyProtection="1">
      <alignment horizontal="center" vertical="center"/>
    </xf>
    <xf numFmtId="0" fontId="5" fillId="0" borderId="1" xfId="0" applyFont="1" applyBorder="1" applyAlignment="1">
      <alignment horizontal="center" vertical="center" textRotation="255"/>
    </xf>
    <xf numFmtId="0" fontId="5" fillId="0" borderId="1" xfId="0" applyFont="1" applyBorder="1" applyAlignment="1">
      <alignment horizontal="center"/>
    </xf>
    <xf numFmtId="0" fontId="5" fillId="0" borderId="1" xfId="0" applyFont="1" applyBorder="1"/>
    <xf numFmtId="0" fontId="6" fillId="0" borderId="1" xfId="0" applyFont="1" applyBorder="1"/>
    <xf numFmtId="0" fontId="6" fillId="0" borderId="29" xfId="0" applyFont="1" applyBorder="1"/>
    <xf numFmtId="0" fontId="5" fillId="0" borderId="29" xfId="0" applyFont="1" applyBorder="1"/>
    <xf numFmtId="0" fontId="5" fillId="0" borderId="29" xfId="0" applyFont="1" applyBorder="1" applyAlignment="1">
      <alignment horizontal="center"/>
    </xf>
    <xf numFmtId="0" fontId="5" fillId="0" borderId="29" xfId="0" applyFont="1" applyBorder="1" applyAlignment="1">
      <alignment horizontal="center" vertical="center"/>
    </xf>
    <xf numFmtId="0" fontId="5" fillId="0" borderId="30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31" xfId="0" applyFont="1" applyBorder="1" applyAlignment="1">
      <alignment horizontal="center" vertical="center"/>
    </xf>
    <xf numFmtId="0" fontId="5" fillId="0" borderId="32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0" borderId="33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5" fillId="0" borderId="31" xfId="0" applyFont="1" applyBorder="1"/>
    <xf numFmtId="0" fontId="5" fillId="0" borderId="30" xfId="0" applyFont="1" applyBorder="1"/>
    <xf numFmtId="181" fontId="0" fillId="0" borderId="0" xfId="0" applyNumberFormat="1"/>
    <xf numFmtId="0" fontId="0" fillId="0" borderId="0" xfId="0" applyAlignment="1">
      <alignment horizontal="center"/>
    </xf>
    <xf numFmtId="181" fontId="0" fillId="0" borderId="0" xfId="0" applyNumberFormat="1" applyAlignment="1">
      <alignment horizontal="center"/>
    </xf>
    <xf numFmtId="0" fontId="0" fillId="5" borderId="0" xfId="0" applyFill="1" applyAlignment="1">
      <alignment horizontal="center"/>
    </xf>
    <xf numFmtId="180" fontId="0" fillId="0" borderId="0" xfId="0" applyNumberFormat="1"/>
    <xf numFmtId="38" fontId="0" fillId="0" borderId="0" xfId="0" applyNumberFormat="1"/>
    <xf numFmtId="0" fontId="6" fillId="6" borderId="2" xfId="0" applyFont="1" applyFill="1" applyBorder="1" applyAlignment="1">
      <alignment vertical="center" wrapText="1"/>
    </xf>
    <xf numFmtId="0" fontId="6" fillId="4" borderId="2" xfId="0" applyFont="1" applyFill="1" applyBorder="1" applyAlignment="1">
      <alignment vertical="center"/>
    </xf>
    <xf numFmtId="0" fontId="6" fillId="0" borderId="7" xfId="0" applyFont="1" applyBorder="1"/>
    <xf numFmtId="0" fontId="6" fillId="0" borderId="25" xfId="0" applyFont="1" applyBorder="1"/>
    <xf numFmtId="0" fontId="6" fillId="0" borderId="12" xfId="0" applyFont="1" applyBorder="1"/>
    <xf numFmtId="0" fontId="5" fillId="0" borderId="3" xfId="0" applyFont="1" applyBorder="1" applyAlignment="1">
      <alignment horizontal="left" vertical="center"/>
    </xf>
    <xf numFmtId="0" fontId="5" fillId="0" borderId="0" xfId="0" applyFont="1" applyAlignment="1">
      <alignment vertical="center"/>
    </xf>
    <xf numFmtId="0" fontId="5" fillId="0" borderId="2" xfId="0" applyFont="1" applyBorder="1" applyAlignment="1">
      <alignment horizontal="center"/>
    </xf>
    <xf numFmtId="0" fontId="5" fillId="0" borderId="2" xfId="0" applyFont="1" applyBorder="1" applyAlignment="1">
      <alignment horizontal="center" vertical="center"/>
    </xf>
    <xf numFmtId="38" fontId="2" fillId="0" borderId="12" xfId="2" applyFont="1" applyBorder="1" applyAlignment="1" applyProtection="1">
      <alignment horizontal="center" vertical="center"/>
    </xf>
    <xf numFmtId="180" fontId="7" fillId="0" borderId="12" xfId="2" applyNumberFormat="1" applyFont="1" applyBorder="1" applyAlignment="1" applyProtection="1">
      <alignment vertical="center"/>
    </xf>
    <xf numFmtId="0" fontId="5" fillId="0" borderId="1" xfId="0" applyFont="1" applyBorder="1" applyAlignment="1">
      <alignment horizontal="center"/>
    </xf>
    <xf numFmtId="0" fontId="5" fillId="0" borderId="2" xfId="0" applyFont="1" applyBorder="1" applyAlignment="1">
      <alignment horizontal="center" vertical="center" textRotation="255"/>
    </xf>
    <xf numFmtId="0" fontId="5" fillId="0" borderId="4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/>
    </xf>
    <xf numFmtId="0" fontId="2" fillId="0" borderId="2" xfId="0" applyFont="1" applyBorder="1" applyAlignment="1">
      <alignment horizontal="center" vertical="center"/>
    </xf>
    <xf numFmtId="38" fontId="2" fillId="0" borderId="2" xfId="2" applyFont="1" applyBorder="1" applyAlignment="1" applyProtection="1">
      <alignment horizontal="center" vertical="center"/>
    </xf>
    <xf numFmtId="0" fontId="5" fillId="4" borderId="2" xfId="0" applyFont="1" applyFill="1" applyBorder="1" applyAlignment="1">
      <alignment horizontal="center"/>
    </xf>
    <xf numFmtId="38" fontId="2" fillId="0" borderId="16" xfId="2" applyFont="1" applyBorder="1" applyAlignment="1" applyProtection="1">
      <alignment vertical="center"/>
    </xf>
    <xf numFmtId="180" fontId="7" fillId="0" borderId="7" xfId="2" applyNumberFormat="1" applyFont="1" applyBorder="1" applyAlignment="1" applyProtection="1">
      <alignment vertical="center"/>
    </xf>
    <xf numFmtId="38" fontId="10" fillId="0" borderId="2" xfId="2" applyFont="1" applyBorder="1" applyAlignment="1" applyProtection="1">
      <alignment horizontal="center" vertical="center"/>
    </xf>
    <xf numFmtId="38" fontId="2" fillId="0" borderId="22" xfId="2" applyFont="1" applyBorder="1" applyAlignment="1" applyProtection="1">
      <alignment vertical="center"/>
    </xf>
    <xf numFmtId="180" fontId="7" fillId="0" borderId="25" xfId="2" applyNumberFormat="1" applyFont="1" applyBorder="1" applyAlignment="1" applyProtection="1">
      <alignment vertical="center"/>
    </xf>
    <xf numFmtId="0" fontId="2" fillId="0" borderId="0" xfId="0" applyFont="1" applyProtection="1">
      <protection hidden="1"/>
    </xf>
    <xf numFmtId="0" fontId="2" fillId="2" borderId="0" xfId="0" applyFont="1" applyFill="1" applyProtection="1">
      <protection hidden="1"/>
    </xf>
    <xf numFmtId="3" fontId="2" fillId="2" borderId="0" xfId="0" applyNumberFormat="1" applyFont="1" applyFill="1" applyProtection="1">
      <protection hidden="1"/>
    </xf>
    <xf numFmtId="0" fontId="2" fillId="2" borderId="10" xfId="0" applyFont="1" applyFill="1" applyBorder="1" applyAlignment="1" applyProtection="1">
      <alignment horizontal="center" vertical="center" shrinkToFit="1"/>
      <protection hidden="1"/>
    </xf>
    <xf numFmtId="0" fontId="2" fillId="3" borderId="11" xfId="0" applyFont="1" applyFill="1" applyBorder="1" applyAlignment="1" applyProtection="1">
      <alignment vertical="center" shrinkToFit="1"/>
      <protection locked="0" hidden="1"/>
    </xf>
    <xf numFmtId="0" fontId="2" fillId="2" borderId="12" xfId="0" applyFont="1" applyFill="1" applyBorder="1" applyAlignment="1" applyProtection="1">
      <alignment horizontal="center" vertical="center" shrinkToFit="1"/>
      <protection hidden="1"/>
    </xf>
    <xf numFmtId="0" fontId="2" fillId="3" borderId="10" xfId="0" applyFont="1" applyFill="1" applyBorder="1" applyAlignment="1" applyProtection="1">
      <alignment horizontal="center" shrinkToFit="1"/>
      <protection locked="0"/>
    </xf>
    <xf numFmtId="0" fontId="2" fillId="3" borderId="11" xfId="0" applyFont="1" applyFill="1" applyBorder="1" applyAlignment="1" applyProtection="1">
      <alignment horizontal="center" shrinkToFit="1"/>
      <protection locked="0"/>
    </xf>
    <xf numFmtId="0" fontId="2" fillId="3" borderId="2" xfId="0" applyFont="1" applyFill="1" applyBorder="1" applyAlignment="1" applyProtection="1">
      <alignment horizontal="center" vertical="center" shrinkToFit="1"/>
      <protection locked="0"/>
    </xf>
    <xf numFmtId="38" fontId="2" fillId="0" borderId="2" xfId="0" applyNumberFormat="1" applyFont="1" applyBorder="1" applyAlignment="1" applyProtection="1">
      <alignment horizontal="right" vertical="center" shrinkToFit="1"/>
      <protection hidden="1"/>
    </xf>
    <xf numFmtId="3" fontId="2" fillId="0" borderId="0" xfId="0" applyNumberFormat="1" applyFont="1" applyProtection="1">
      <protection hidden="1"/>
    </xf>
    <xf numFmtId="179" fontId="2" fillId="3" borderId="2" xfId="0" applyNumberFormat="1" applyFont="1" applyFill="1" applyBorder="1" applyAlignment="1" applyProtection="1">
      <alignment horizontal="center" vertical="center" shrinkToFit="1"/>
      <protection locked="0"/>
    </xf>
    <xf numFmtId="0" fontId="2" fillId="2" borderId="5" xfId="0" applyFont="1" applyFill="1" applyBorder="1" applyAlignment="1" applyProtection="1">
      <alignment horizontal="center" vertical="center" shrinkToFit="1"/>
      <protection hidden="1"/>
    </xf>
    <xf numFmtId="0" fontId="2" fillId="3" borderId="6" xfId="0" applyFont="1" applyFill="1" applyBorder="1" applyAlignment="1" applyProtection="1">
      <alignment vertical="center" shrinkToFit="1"/>
      <protection locked="0" hidden="1"/>
    </xf>
    <xf numFmtId="0" fontId="2" fillId="2" borderId="7" xfId="0" applyFont="1" applyFill="1" applyBorder="1" applyAlignment="1" applyProtection="1">
      <alignment horizontal="center" vertical="center" shrinkToFit="1"/>
      <protection hidden="1"/>
    </xf>
    <xf numFmtId="0" fontId="2" fillId="3" borderId="15" xfId="0" applyFont="1" applyFill="1" applyBorder="1" applyAlignment="1" applyProtection="1">
      <alignment horizontal="center" vertical="center" shrinkToFit="1"/>
      <protection locked="0"/>
    </xf>
    <xf numFmtId="0" fontId="2" fillId="3" borderId="9" xfId="0" applyFont="1" applyFill="1" applyBorder="1" applyAlignment="1" applyProtection="1">
      <alignment horizontal="center" vertical="center" shrinkToFit="1"/>
      <protection locked="0"/>
    </xf>
    <xf numFmtId="0" fontId="2" fillId="3" borderId="14" xfId="0" applyFont="1" applyFill="1" applyBorder="1" applyAlignment="1" applyProtection="1">
      <alignment horizontal="center" vertical="center" shrinkToFit="1"/>
      <protection locked="0"/>
    </xf>
    <xf numFmtId="3" fontId="2" fillId="3" borderId="2" xfId="0" applyNumberFormat="1" applyFont="1" applyFill="1" applyBorder="1" applyAlignment="1" applyProtection="1">
      <alignment horizontal="center" vertical="center" shrinkToFit="1"/>
      <protection locked="0"/>
    </xf>
    <xf numFmtId="0" fontId="2" fillId="3" borderId="5" xfId="0" applyFont="1" applyFill="1" applyBorder="1" applyAlignment="1" applyProtection="1">
      <alignment horizontal="center" vertical="center" shrinkToFit="1"/>
      <protection locked="0"/>
    </xf>
    <xf numFmtId="0" fontId="2" fillId="3" borderId="6" xfId="0" applyFont="1" applyFill="1" applyBorder="1" applyAlignment="1" applyProtection="1">
      <alignment horizontal="center" vertical="center" shrinkToFit="1"/>
      <protection locked="0"/>
    </xf>
    <xf numFmtId="0" fontId="2" fillId="2" borderId="16" xfId="0" applyFont="1" applyFill="1" applyBorder="1" applyAlignment="1" applyProtection="1">
      <alignment horizontal="center" vertical="center" shrinkToFit="1"/>
      <protection hidden="1"/>
    </xf>
    <xf numFmtId="0" fontId="2" fillId="3" borderId="7" xfId="0" applyFont="1" applyFill="1" applyBorder="1" applyAlignment="1" applyProtection="1">
      <alignment horizontal="center" vertical="center" shrinkToFit="1"/>
      <protection locked="0"/>
    </xf>
    <xf numFmtId="0" fontId="2" fillId="3" borderId="11" xfId="0" applyFont="1" applyFill="1" applyBorder="1" applyAlignment="1" applyProtection="1">
      <alignment vertical="center" shrinkToFit="1"/>
      <protection locked="0"/>
    </xf>
    <xf numFmtId="179" fontId="2" fillId="2" borderId="2" xfId="0" applyNumberFormat="1" applyFont="1" applyFill="1" applyBorder="1" applyAlignment="1" applyProtection="1">
      <alignment horizontal="center" vertical="center"/>
      <protection hidden="1"/>
    </xf>
    <xf numFmtId="0" fontId="2" fillId="2" borderId="2" xfId="0" applyFont="1" applyFill="1" applyBorder="1" applyAlignment="1" applyProtection="1">
      <alignment horizontal="center" vertical="center"/>
      <protection hidden="1"/>
    </xf>
    <xf numFmtId="0" fontId="2" fillId="2" borderId="4" xfId="0" applyFont="1" applyFill="1" applyBorder="1" applyAlignment="1" applyProtection="1">
      <alignment horizontal="center" vertical="center"/>
      <protection hidden="1"/>
    </xf>
    <xf numFmtId="0" fontId="2" fillId="2" borderId="2" xfId="0" applyFont="1" applyFill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0" fontId="1" fillId="0" borderId="0" xfId="0" applyFont="1" applyAlignment="1" applyProtection="1">
      <alignment horizontal="center" vertical="center"/>
      <protection hidden="1"/>
    </xf>
    <xf numFmtId="0" fontId="2" fillId="0" borderId="0" xfId="0" applyFont="1" applyAlignment="1" applyProtection="1">
      <alignment horizontal="right" vertical="top"/>
      <protection hidden="1"/>
    </xf>
    <xf numFmtId="0" fontId="3" fillId="0" borderId="1" xfId="0" applyFont="1" applyBorder="1" applyAlignment="1" applyProtection="1">
      <alignment horizontal="right" vertical="center"/>
      <protection hidden="1"/>
    </xf>
    <xf numFmtId="0" fontId="5" fillId="2" borderId="2" xfId="0" applyFont="1" applyFill="1" applyBorder="1" applyAlignment="1">
      <alignment horizontal="center"/>
    </xf>
    <xf numFmtId="0" fontId="5" fillId="2" borderId="2" xfId="0" applyFont="1" applyFill="1" applyBorder="1" applyAlignment="1">
      <alignment horizontal="center" vertical="center"/>
    </xf>
    <xf numFmtId="0" fontId="5" fillId="3" borderId="2" xfId="0" applyFont="1" applyFill="1" applyBorder="1" applyAlignment="1" applyProtection="1">
      <alignment horizontal="center" vertical="center" wrapText="1"/>
      <protection locked="0"/>
    </xf>
    <xf numFmtId="176" fontId="5" fillId="3" borderId="2" xfId="0" applyNumberFormat="1" applyFont="1" applyFill="1" applyBorder="1" applyAlignment="1" applyProtection="1">
      <alignment horizontal="center" vertical="center" shrinkToFit="1"/>
      <protection locked="0"/>
    </xf>
    <xf numFmtId="0" fontId="0" fillId="3" borderId="2" xfId="0" applyFill="1" applyBorder="1" applyAlignment="1" applyProtection="1">
      <alignment horizontal="center" vertical="center"/>
      <protection locked="0"/>
    </xf>
    <xf numFmtId="177" fontId="5" fillId="0" borderId="2" xfId="0" applyNumberFormat="1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 vertical="center"/>
    </xf>
    <xf numFmtId="0" fontId="2" fillId="3" borderId="15" xfId="0" applyFont="1" applyFill="1" applyBorder="1" applyAlignment="1" applyProtection="1">
      <alignment horizontal="center" shrinkToFit="1"/>
      <protection locked="0"/>
    </xf>
    <xf numFmtId="0" fontId="2" fillId="3" borderId="8" xfId="0" applyFont="1" applyFill="1" applyBorder="1" applyAlignment="1" applyProtection="1">
      <alignment horizontal="center" shrinkToFit="1"/>
      <protection locked="0"/>
    </xf>
    <xf numFmtId="0" fontId="2" fillId="3" borderId="14" xfId="0" applyFont="1" applyFill="1" applyBorder="1" applyAlignment="1" applyProtection="1">
      <alignment horizontal="center" shrinkToFit="1"/>
      <protection locked="0"/>
    </xf>
    <xf numFmtId="0" fontId="4" fillId="0" borderId="1" xfId="0" applyFont="1" applyBorder="1" applyAlignment="1" applyProtection="1">
      <alignment horizontal="right" vertical="center"/>
      <protection hidden="1"/>
    </xf>
    <xf numFmtId="0" fontId="5" fillId="2" borderId="4" xfId="0" applyFont="1" applyFill="1" applyBorder="1" applyAlignment="1">
      <alignment horizontal="center"/>
    </xf>
    <xf numFmtId="0" fontId="0" fillId="3" borderId="2" xfId="0" applyFill="1" applyBorder="1" applyAlignment="1">
      <alignment horizontal="center" vertical="center"/>
    </xf>
  </cellXfs>
  <cellStyles count="3">
    <cellStyle name="Excel Built-in Comma [0] 1" xfId="2" xr:uid="{00000000-0005-0000-0000-000007000000}"/>
    <cellStyle name="桁区切り 2" xfId="1" xr:uid="{00000000-0005-0000-0000-000006000000}"/>
    <cellStyle name="標準" xfId="0" builtinId="0"/>
  </cellStyles>
  <dxfs count="6">
    <dxf>
      <fill>
        <patternFill>
          <bgColor rgb="FFFFFF99"/>
        </patternFill>
      </fill>
    </dxf>
    <dxf>
      <font>
        <color rgb="FFFFFFFF"/>
      </font>
    </dxf>
    <dxf>
      <font>
        <color rgb="FFFFFFFF"/>
      </font>
      <border diagonalUp="0" diagonalDown="0">
        <left/>
        <right/>
        <top/>
        <bottom/>
      </border>
    </dxf>
    <dxf>
      <fill>
        <patternFill>
          <bgColor rgb="FFFFFF99"/>
        </patternFill>
      </fill>
    </dxf>
    <dxf>
      <font>
        <color rgb="FFFFFFFF"/>
      </font>
    </dxf>
    <dxf>
      <font>
        <color rgb="FFFFFFFF"/>
      </font>
      <border diagonalUp="0" diagonalDown="0">
        <left/>
        <right/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58320</xdr:colOff>
      <xdr:row>53</xdr:row>
      <xdr:rowOff>80280</xdr:rowOff>
    </xdr:from>
    <xdr:to>
      <xdr:col>11</xdr:col>
      <xdr:colOff>124200</xdr:colOff>
      <xdr:row>53</xdr:row>
      <xdr:rowOff>80280</xdr:rowOff>
    </xdr:to>
    <xdr:sp macro="" textlink="">
      <xdr:nvSpPr>
        <xdr:cNvPr id="2" name="Lin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608760" y="9614880"/>
          <a:ext cx="1533960" cy="0"/>
        </a:xfrm>
        <a:prstGeom prst="line">
          <a:avLst/>
        </a:prstGeom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15</xdr:col>
      <xdr:colOff>58320</xdr:colOff>
      <xdr:row>53</xdr:row>
      <xdr:rowOff>80280</xdr:rowOff>
    </xdr:from>
    <xdr:to>
      <xdr:col>23</xdr:col>
      <xdr:colOff>124200</xdr:colOff>
      <xdr:row>53</xdr:row>
      <xdr:rowOff>80280</xdr:rowOff>
    </xdr:to>
    <xdr:sp macro="" textlink="">
      <xdr:nvSpPr>
        <xdr:cNvPr id="3" name="Line 1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880720" y="9614880"/>
          <a:ext cx="1534320" cy="0"/>
        </a:xfrm>
        <a:prstGeom prst="line">
          <a:avLst/>
        </a:prstGeom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26</xdr:col>
      <xdr:colOff>58320</xdr:colOff>
      <xdr:row>53</xdr:row>
      <xdr:rowOff>80280</xdr:rowOff>
    </xdr:from>
    <xdr:to>
      <xdr:col>34</xdr:col>
      <xdr:colOff>124200</xdr:colOff>
      <xdr:row>53</xdr:row>
      <xdr:rowOff>80280</xdr:rowOff>
    </xdr:to>
    <xdr:sp macro="" textlink="">
      <xdr:nvSpPr>
        <xdr:cNvPr id="4" name="Line 1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4899600" y="9614880"/>
          <a:ext cx="1533960" cy="0"/>
        </a:xfrm>
        <a:prstGeom prst="line">
          <a:avLst/>
        </a:prstGeom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58320</xdr:colOff>
      <xdr:row>59</xdr:row>
      <xdr:rowOff>80280</xdr:rowOff>
    </xdr:from>
    <xdr:to>
      <xdr:col>12</xdr:col>
      <xdr:colOff>124200</xdr:colOff>
      <xdr:row>59</xdr:row>
      <xdr:rowOff>80280</xdr:rowOff>
    </xdr:to>
    <xdr:sp macro="" textlink="">
      <xdr:nvSpPr>
        <xdr:cNvPr id="4" name="Line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/>
      </xdr:nvSpPr>
      <xdr:spPr>
        <a:xfrm>
          <a:off x="1237680" y="10405440"/>
          <a:ext cx="1533960" cy="0"/>
        </a:xfrm>
        <a:prstGeom prst="line">
          <a:avLst/>
        </a:prstGeom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58320</xdr:colOff>
      <xdr:row>59</xdr:row>
      <xdr:rowOff>80280</xdr:rowOff>
    </xdr:from>
    <xdr:to>
      <xdr:col>24</xdr:col>
      <xdr:colOff>124200</xdr:colOff>
      <xdr:row>59</xdr:row>
      <xdr:rowOff>80280</xdr:rowOff>
    </xdr:to>
    <xdr:sp macro="" textlink="">
      <xdr:nvSpPr>
        <xdr:cNvPr id="5" name="Line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/>
      </xdr:nvSpPr>
      <xdr:spPr>
        <a:xfrm>
          <a:off x="3439800" y="10405440"/>
          <a:ext cx="1533960" cy="0"/>
        </a:xfrm>
        <a:prstGeom prst="line">
          <a:avLst/>
        </a:prstGeom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27</xdr:col>
      <xdr:colOff>58320</xdr:colOff>
      <xdr:row>59</xdr:row>
      <xdr:rowOff>80280</xdr:rowOff>
    </xdr:from>
    <xdr:to>
      <xdr:col>35</xdr:col>
      <xdr:colOff>124200</xdr:colOff>
      <xdr:row>59</xdr:row>
      <xdr:rowOff>80280</xdr:rowOff>
    </xdr:to>
    <xdr:sp macro="" textlink="">
      <xdr:nvSpPr>
        <xdr:cNvPr id="6" name="Line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/>
      </xdr:nvSpPr>
      <xdr:spPr>
        <a:xfrm>
          <a:off x="5458320" y="10405440"/>
          <a:ext cx="1533960" cy="0"/>
        </a:xfrm>
        <a:prstGeom prst="line">
          <a:avLst/>
        </a:prstGeom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3</xdr:row>
      <xdr:rowOff>66600</xdr:rowOff>
    </xdr:from>
    <xdr:to>
      <xdr:col>1</xdr:col>
      <xdr:colOff>173160</xdr:colOff>
      <xdr:row>7</xdr:row>
      <xdr:rowOff>139680</xdr:rowOff>
    </xdr:to>
    <xdr:sp macro="" textlink="">
      <xdr:nvSpPr>
        <xdr:cNvPr id="7" name="AutoShape 8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/>
      </xdr:nvSpPr>
      <xdr:spPr>
        <a:xfrm>
          <a:off x="0" y="695160"/>
          <a:ext cx="801720" cy="702000"/>
        </a:xfrm>
        <a:prstGeom prst="borderCallout2">
          <a:avLst>
            <a:gd name="adj1" fmla="val 16218"/>
            <a:gd name="adj2" fmla="val 108792"/>
            <a:gd name="adj3" fmla="val 16218"/>
            <a:gd name="adj4" fmla="val 172528"/>
            <a:gd name="adj5" fmla="val 94593"/>
            <a:gd name="adj6" fmla="val 240657"/>
          </a:avLst>
        </a:prstGeom>
        <a:solidFill>
          <a:srgbClr val="FFFFFF"/>
        </a:solidFill>
        <a:ln w="9525">
          <a:solidFill>
            <a:srgbClr val="000000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vertOverflow="clip" lIns="27360" tIns="18360" rIns="0" bIns="0" anchor="t" upright="1">
          <a:noAutofit/>
        </a:bodyPr>
        <a:lstStyle/>
        <a:p>
          <a:pPr>
            <a:lnSpc>
              <a:spcPts val="1199"/>
            </a:lnSpc>
          </a:pPr>
          <a:r>
            <a:rPr lang="ja-JP" sz="1000" b="0" u="none" strike="noStrike">
              <a:solidFill>
                <a:srgbClr val="000000"/>
              </a:solidFill>
              <a:effectLst/>
              <a:uFillTx/>
              <a:latin typeface="ＭＳ Ｐゴシック"/>
              <a:ea typeface="ＭＳ Ｐゴシック"/>
            </a:rPr>
            <a:t>目的・交通手段は、プルダウンから選択して下さい。</a:t>
          </a:r>
          <a:endParaRPr lang="en-US" sz="1000" b="0" u="none" strike="noStrike">
            <a:effectLst/>
            <a:uFillTx/>
            <a:latin typeface="Noto Serif JP"/>
          </a:endParaRPr>
        </a:p>
      </xdr:txBody>
    </xdr:sp>
    <xdr:clientData/>
  </xdr:twoCellAnchor>
  <xdr:twoCellAnchor>
    <xdr:from>
      <xdr:col>1</xdr:col>
      <xdr:colOff>92880</xdr:colOff>
      <xdr:row>16</xdr:row>
      <xdr:rowOff>57240</xdr:rowOff>
    </xdr:from>
    <xdr:to>
      <xdr:col>13</xdr:col>
      <xdr:colOff>127800</xdr:colOff>
      <xdr:row>27</xdr:row>
      <xdr:rowOff>149400</xdr:rowOff>
    </xdr:to>
    <xdr:sp macro="" textlink="">
      <xdr:nvSpPr>
        <xdr:cNvPr id="8" name="AutoShape 10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SpPr/>
      </xdr:nvSpPr>
      <xdr:spPr>
        <a:xfrm>
          <a:off x="721440" y="2914920"/>
          <a:ext cx="2237040" cy="2082600"/>
        </a:xfrm>
        <a:prstGeom prst="borderCallout2">
          <a:avLst>
            <a:gd name="adj1" fmla="val 5481"/>
            <a:gd name="adj2" fmla="val 103125"/>
            <a:gd name="adj3" fmla="val 5481"/>
            <a:gd name="adj4" fmla="val 132421"/>
            <a:gd name="adj5" fmla="val -63472"/>
            <a:gd name="adj6" fmla="val 157032"/>
          </a:avLst>
        </a:prstGeom>
        <a:solidFill>
          <a:srgbClr val="FFFFFF"/>
        </a:solidFill>
        <a:ln w="9525">
          <a:solidFill>
            <a:srgbClr val="000000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vertOverflow="clip" lIns="27360" tIns="18360" rIns="0" bIns="0" anchor="t" upright="1">
          <a:noAutofit/>
        </a:bodyPr>
        <a:lstStyle/>
        <a:p>
          <a:pPr>
            <a:lnSpc>
              <a:spcPts val="1199"/>
            </a:lnSpc>
          </a:pPr>
          <a:r>
            <a:rPr lang="en-US" sz="1000" b="0" u="none" strike="noStrike">
              <a:solidFill>
                <a:srgbClr val="000000"/>
              </a:solidFill>
              <a:effectLst/>
              <a:uFillTx/>
              <a:latin typeface="ＭＳ Ｐゴシック"/>
              <a:ea typeface="ＭＳ Ｐゴシック"/>
            </a:rPr>
            <a:t>■</a:t>
          </a:r>
          <a:r>
            <a:rPr lang="ja-JP" sz="1000" b="0" u="none" strike="noStrike">
              <a:solidFill>
                <a:srgbClr val="000000"/>
              </a:solidFill>
              <a:effectLst/>
              <a:uFillTx/>
              <a:latin typeface="ＭＳ Ｐゴシック"/>
              <a:ea typeface="ＭＳ Ｐゴシック"/>
            </a:rPr>
            <a:t>経路</a:t>
          </a:r>
          <a:endParaRPr lang="en-US" sz="1000" b="0" u="none" strike="noStrike">
            <a:effectLst/>
            <a:uFillTx/>
            <a:latin typeface="Noto Serif JP"/>
          </a:endParaRPr>
        </a:p>
        <a:p>
          <a:pPr>
            <a:lnSpc>
              <a:spcPts val="1199"/>
            </a:lnSpc>
          </a:pPr>
          <a:r>
            <a:rPr lang="en-US" sz="1000" b="0" u="none" strike="noStrike">
              <a:solidFill>
                <a:srgbClr val="000000"/>
              </a:solidFill>
              <a:effectLst/>
              <a:uFillTx/>
              <a:latin typeface="ＭＳ Ｐゴシック"/>
              <a:ea typeface="ＭＳ Ｐゴシック"/>
            </a:rPr>
            <a:t>◇電車の場合</a:t>
          </a:r>
          <a:endParaRPr lang="en-US" sz="1000" b="0" u="none" strike="noStrike">
            <a:effectLst/>
            <a:uFillTx/>
            <a:latin typeface="Noto Serif JP"/>
          </a:endParaRPr>
        </a:p>
        <a:p>
          <a:pPr>
            <a:lnSpc>
              <a:spcPts val="1100"/>
            </a:lnSpc>
          </a:pPr>
          <a:r>
            <a:rPr lang="ja-JP" sz="1000" b="0" u="none" strike="noStrike">
              <a:solidFill>
                <a:srgbClr val="000000"/>
              </a:solidFill>
              <a:effectLst/>
              <a:uFillTx/>
              <a:latin typeface="ＭＳ Ｐゴシック"/>
              <a:ea typeface="ＭＳ Ｐゴシック"/>
            </a:rPr>
            <a:t>　→上の段：駅名を入力して下さい。</a:t>
          </a:r>
          <a:endParaRPr lang="en-US" sz="1000" b="0" u="none" strike="noStrike">
            <a:effectLst/>
            <a:uFillTx/>
            <a:latin typeface="Noto Serif JP"/>
          </a:endParaRPr>
        </a:p>
        <a:p>
          <a:pPr>
            <a:lnSpc>
              <a:spcPts val="1199"/>
            </a:lnSpc>
          </a:pPr>
          <a:r>
            <a:rPr lang="ja-JP" sz="1000" b="0" u="none" strike="noStrike">
              <a:solidFill>
                <a:srgbClr val="000000"/>
              </a:solidFill>
              <a:effectLst/>
              <a:uFillTx/>
              <a:latin typeface="ＭＳ Ｐゴシック"/>
              <a:ea typeface="ＭＳ Ｐゴシック"/>
            </a:rPr>
            <a:t>　→下の段：鉄道会社名を入力して下さい。</a:t>
          </a:r>
          <a:endParaRPr lang="en-US" sz="1000" b="0" u="none" strike="noStrike">
            <a:effectLst/>
            <a:uFillTx/>
            <a:latin typeface="Noto Serif JP"/>
          </a:endParaRPr>
        </a:p>
        <a:p>
          <a:pPr>
            <a:lnSpc>
              <a:spcPts val="1100"/>
            </a:lnSpc>
          </a:pPr>
          <a:r>
            <a:rPr lang="en-US" sz="1000" b="0" u="none" strike="noStrike">
              <a:solidFill>
                <a:srgbClr val="000000"/>
              </a:solidFill>
              <a:effectLst/>
              <a:uFillTx/>
              <a:latin typeface="ＭＳ Ｐゴシック"/>
              <a:ea typeface="ＭＳ Ｐゴシック"/>
            </a:rPr>
            <a:t>◇バスの場合</a:t>
          </a:r>
          <a:endParaRPr lang="en-US" sz="1000" b="0" u="none" strike="noStrike">
            <a:effectLst/>
            <a:uFillTx/>
            <a:latin typeface="Noto Serif JP"/>
          </a:endParaRPr>
        </a:p>
        <a:p>
          <a:pPr>
            <a:lnSpc>
              <a:spcPts val="1199"/>
            </a:lnSpc>
          </a:pPr>
          <a:r>
            <a:rPr lang="ja-JP" sz="1000" b="0" u="none" strike="noStrike">
              <a:solidFill>
                <a:srgbClr val="000000"/>
              </a:solidFill>
              <a:effectLst/>
              <a:uFillTx/>
              <a:latin typeface="ＭＳ Ｐゴシック"/>
              <a:ea typeface="ＭＳ Ｐゴシック"/>
            </a:rPr>
            <a:t>　→上の段：停留所名を入力して下さい。</a:t>
          </a:r>
          <a:endParaRPr lang="en-US" sz="1000" b="0" u="none" strike="noStrike">
            <a:effectLst/>
            <a:uFillTx/>
            <a:latin typeface="Noto Serif JP"/>
          </a:endParaRPr>
        </a:p>
        <a:p>
          <a:pPr>
            <a:lnSpc>
              <a:spcPts val="1100"/>
            </a:lnSpc>
          </a:pPr>
          <a:r>
            <a:rPr lang="ja-JP" sz="1000" b="0" u="none" strike="noStrike">
              <a:solidFill>
                <a:srgbClr val="000000"/>
              </a:solidFill>
              <a:effectLst/>
              <a:uFillTx/>
              <a:latin typeface="ＭＳ Ｐゴシック"/>
              <a:ea typeface="ＭＳ Ｐゴシック"/>
            </a:rPr>
            <a:t>　→下の段：バス会社名を入力して下さい。</a:t>
          </a:r>
          <a:endParaRPr lang="en-US" sz="1000" b="0" u="none" strike="noStrike">
            <a:effectLst/>
            <a:uFillTx/>
            <a:latin typeface="Noto Serif JP"/>
          </a:endParaRPr>
        </a:p>
        <a:p>
          <a:pPr>
            <a:lnSpc>
              <a:spcPts val="1199"/>
            </a:lnSpc>
          </a:pPr>
          <a:r>
            <a:rPr lang="en-US" sz="1000" b="0" u="none" strike="noStrike">
              <a:solidFill>
                <a:srgbClr val="000000"/>
              </a:solidFill>
              <a:effectLst/>
              <a:uFillTx/>
              <a:latin typeface="ＭＳ Ｐゴシック"/>
              <a:ea typeface="ＭＳ Ｐゴシック"/>
            </a:rPr>
            <a:t>◇タクシーの場合</a:t>
          </a:r>
          <a:endParaRPr lang="en-US" sz="1000" b="0" u="none" strike="noStrike">
            <a:effectLst/>
            <a:uFillTx/>
            <a:latin typeface="Noto Serif JP"/>
          </a:endParaRPr>
        </a:p>
        <a:p>
          <a:pPr>
            <a:lnSpc>
              <a:spcPts val="1100"/>
            </a:lnSpc>
          </a:pPr>
          <a:r>
            <a:rPr lang="ja-JP" sz="1000" b="0" u="none" strike="noStrike">
              <a:solidFill>
                <a:srgbClr val="000000"/>
              </a:solidFill>
              <a:effectLst/>
              <a:uFillTx/>
              <a:latin typeface="ＭＳ Ｐゴシック"/>
              <a:ea typeface="ＭＳ Ｐゴシック"/>
            </a:rPr>
            <a:t>　→上の段：出発</a:t>
          </a:r>
          <a:r>
            <a:rPr lang="en-US" sz="1000" b="0" u="none" strike="noStrike">
              <a:solidFill>
                <a:srgbClr val="000000"/>
              </a:solidFill>
              <a:effectLst/>
              <a:uFillTx/>
              <a:latin typeface="ＭＳ Ｐゴシック"/>
              <a:ea typeface="ＭＳ Ｐゴシック"/>
            </a:rPr>
            <a:t>/</a:t>
          </a:r>
          <a:r>
            <a:rPr lang="ja-JP" sz="1000" b="0" u="none" strike="noStrike">
              <a:solidFill>
                <a:srgbClr val="000000"/>
              </a:solidFill>
              <a:effectLst/>
              <a:uFillTx/>
              <a:latin typeface="ＭＳ Ｐゴシック"/>
              <a:ea typeface="ＭＳ Ｐゴシック"/>
            </a:rPr>
            <a:t>到着地点を入力して下さい。</a:t>
          </a:r>
          <a:endParaRPr lang="en-US" sz="1000" b="0" u="none" strike="noStrike">
            <a:effectLst/>
            <a:uFillTx/>
            <a:latin typeface="Noto Serif JP"/>
          </a:endParaRPr>
        </a:p>
        <a:p>
          <a:pPr>
            <a:lnSpc>
              <a:spcPts val="1199"/>
            </a:lnSpc>
          </a:pPr>
          <a:r>
            <a:rPr lang="ja-JP" sz="1000" b="0" u="none" strike="noStrike">
              <a:solidFill>
                <a:srgbClr val="000000"/>
              </a:solidFill>
              <a:effectLst/>
              <a:uFillTx/>
              <a:latin typeface="ＭＳ Ｐゴシック"/>
              <a:ea typeface="ＭＳ Ｐゴシック"/>
            </a:rPr>
            <a:t>　→下の段：入力しないで下さい。</a:t>
          </a:r>
          <a:endParaRPr lang="en-US" sz="1000" b="0" u="none" strike="noStrike">
            <a:effectLst/>
            <a:uFillTx/>
            <a:latin typeface="Noto Serif JP"/>
          </a:endParaRPr>
        </a:p>
      </xdr:txBody>
    </xdr:sp>
    <xdr:clientData/>
  </xdr:twoCellAnchor>
  <xdr:twoCellAnchor>
    <xdr:from>
      <xdr:col>39</xdr:col>
      <xdr:colOff>83520</xdr:colOff>
      <xdr:row>0</xdr:row>
      <xdr:rowOff>104760</xdr:rowOff>
    </xdr:from>
    <xdr:to>
      <xdr:col>47</xdr:col>
      <xdr:colOff>118440</xdr:colOff>
      <xdr:row>4</xdr:row>
      <xdr:rowOff>6120</xdr:rowOff>
    </xdr:to>
    <xdr:sp macro="" textlink="">
      <xdr:nvSpPr>
        <xdr:cNvPr id="9" name="AutoShape 11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SpPr/>
      </xdr:nvSpPr>
      <xdr:spPr>
        <a:xfrm>
          <a:off x="7685640" y="104760"/>
          <a:ext cx="1503000" cy="701640"/>
        </a:xfrm>
        <a:prstGeom prst="borderCallout2">
          <a:avLst>
            <a:gd name="adj1" fmla="val 16218"/>
            <a:gd name="adj2" fmla="val -4653"/>
            <a:gd name="adj3" fmla="val 16218"/>
            <a:gd name="adj4" fmla="val -115116"/>
            <a:gd name="adj5" fmla="val 82431"/>
            <a:gd name="adj6" fmla="val -204069"/>
          </a:avLst>
        </a:prstGeom>
        <a:noFill/>
        <a:ln w="9525">
          <a:solidFill>
            <a:srgbClr val="000000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vertOverflow="clip" lIns="27360" tIns="18360" rIns="0" bIns="0" anchor="t" upright="1">
          <a:noAutofit/>
        </a:bodyPr>
        <a:lstStyle/>
        <a:p>
          <a:pPr>
            <a:lnSpc>
              <a:spcPts val="1100"/>
            </a:lnSpc>
          </a:pPr>
          <a:r>
            <a:rPr lang="ja-JP" sz="1000" b="0" u="none" strike="noStrike">
              <a:solidFill>
                <a:srgbClr val="000000"/>
              </a:solidFill>
              <a:effectLst/>
              <a:uFillTx/>
              <a:latin typeface="ＭＳ Ｐゴシック"/>
              <a:ea typeface="ＭＳ Ｐゴシック"/>
            </a:rPr>
            <a:t>起票者の所属部門、社員番号、氏名を入力して下さい。</a:t>
          </a:r>
          <a:endParaRPr lang="en-US" sz="1000" b="0" u="none" strike="noStrike">
            <a:effectLst/>
            <a:uFillTx/>
            <a:latin typeface="Noto Serif JP"/>
          </a:endParaRPr>
        </a:p>
      </xdr:txBody>
    </xdr:sp>
    <xdr:clientData/>
  </xdr:twoCellAnchor>
  <xdr:twoCellAnchor>
    <xdr:from>
      <xdr:col>39</xdr:col>
      <xdr:colOff>102600</xdr:colOff>
      <xdr:row>14</xdr:row>
      <xdr:rowOff>92880</xdr:rowOff>
    </xdr:from>
    <xdr:to>
      <xdr:col>47</xdr:col>
      <xdr:colOff>230400</xdr:colOff>
      <xdr:row>18</xdr:row>
      <xdr:rowOff>15840</xdr:rowOff>
    </xdr:to>
    <xdr:sp macro="" textlink="">
      <xdr:nvSpPr>
        <xdr:cNvPr id="10" name="AutoShape 12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SpPr/>
      </xdr:nvSpPr>
      <xdr:spPr>
        <a:xfrm>
          <a:off x="7704720" y="2588400"/>
          <a:ext cx="1595880" cy="646920"/>
        </a:xfrm>
        <a:prstGeom prst="borderCallout2">
          <a:avLst>
            <a:gd name="adj1" fmla="val 17394"/>
            <a:gd name="adj2" fmla="val -4394"/>
            <a:gd name="adj3" fmla="val 17394"/>
            <a:gd name="adj4" fmla="val -54944"/>
            <a:gd name="adj5" fmla="val -155074"/>
            <a:gd name="adj6" fmla="val -93407"/>
          </a:avLst>
        </a:prstGeom>
        <a:solidFill>
          <a:srgbClr val="FFFFFF"/>
        </a:solidFill>
        <a:ln w="9525">
          <a:solidFill>
            <a:srgbClr val="000000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vertOverflow="clip" lIns="27360" tIns="18360" rIns="0" bIns="0" anchor="t" upright="1">
          <a:noAutofit/>
        </a:bodyPr>
        <a:lstStyle/>
        <a:p>
          <a:pPr>
            <a:lnSpc>
              <a:spcPts val="1199"/>
            </a:lnSpc>
          </a:pPr>
          <a:r>
            <a:rPr lang="en-US" sz="1000" b="0" u="none" strike="noStrike">
              <a:solidFill>
                <a:srgbClr val="000000"/>
              </a:solidFill>
              <a:effectLst/>
              <a:uFillTx/>
              <a:latin typeface="ＭＳ Ｐゴシック"/>
              <a:ea typeface="ＭＳ Ｐゴシック"/>
            </a:rPr>
            <a:t>■</a:t>
          </a:r>
          <a:r>
            <a:rPr lang="ja-JP" sz="1000" b="0" u="none" strike="noStrike">
              <a:solidFill>
                <a:srgbClr val="000000"/>
              </a:solidFill>
              <a:effectLst/>
              <a:uFillTx/>
              <a:latin typeface="ＭＳ Ｐゴシック"/>
              <a:ea typeface="ＭＳ Ｐゴシック"/>
            </a:rPr>
            <a:t>往復</a:t>
          </a:r>
          <a:endParaRPr lang="en-US" sz="1000" b="0" u="none" strike="noStrike">
            <a:effectLst/>
            <a:uFillTx/>
            <a:latin typeface="Noto Serif JP"/>
          </a:endParaRPr>
        </a:p>
        <a:p>
          <a:pPr>
            <a:lnSpc>
              <a:spcPts val="1100"/>
            </a:lnSpc>
          </a:pPr>
          <a:r>
            <a:rPr lang="ja-JP" sz="1000" b="0" u="none" strike="noStrike">
              <a:solidFill>
                <a:srgbClr val="000000"/>
              </a:solidFill>
              <a:effectLst/>
              <a:uFillTx/>
              <a:latin typeface="ＭＳ Ｐゴシック"/>
              <a:ea typeface="ＭＳ Ｐゴシック"/>
            </a:rPr>
            <a:t>電車・バスで同じ経路を往復した</a:t>
          </a:r>
          <a:endParaRPr lang="en-US" sz="1000" b="0" u="none" strike="noStrike">
            <a:effectLst/>
            <a:uFillTx/>
            <a:latin typeface="Noto Serif JP"/>
          </a:endParaRPr>
        </a:p>
        <a:p>
          <a:pPr>
            <a:lnSpc>
              <a:spcPts val="1199"/>
            </a:lnSpc>
          </a:pPr>
          <a:r>
            <a:rPr lang="ja-JP" sz="1000" b="0" u="none" strike="noStrike">
              <a:solidFill>
                <a:srgbClr val="000000"/>
              </a:solidFill>
              <a:effectLst/>
              <a:uFillTx/>
              <a:latin typeface="ＭＳ Ｐゴシック"/>
              <a:ea typeface="ＭＳ Ｐゴシック"/>
            </a:rPr>
            <a:t>場合は『●』を選択して下さい。</a:t>
          </a:r>
          <a:endParaRPr lang="en-US" sz="1000" b="0" u="none" strike="noStrike">
            <a:effectLst/>
            <a:uFillTx/>
            <a:latin typeface="Noto Serif JP"/>
          </a:endParaRPr>
        </a:p>
      </xdr:txBody>
    </xdr:sp>
    <xdr:clientData/>
  </xdr:twoCellAnchor>
  <xdr:twoCellAnchor>
    <xdr:from>
      <xdr:col>39</xdr:col>
      <xdr:colOff>102600</xdr:colOff>
      <xdr:row>5</xdr:row>
      <xdr:rowOff>28440</xdr:rowOff>
    </xdr:from>
    <xdr:to>
      <xdr:col>48</xdr:col>
      <xdr:colOff>32760</xdr:colOff>
      <xdr:row>13</xdr:row>
      <xdr:rowOff>129960</xdr:rowOff>
    </xdr:to>
    <xdr:sp macro="" textlink="">
      <xdr:nvSpPr>
        <xdr:cNvPr id="11" name="AutoShape 13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SpPr/>
      </xdr:nvSpPr>
      <xdr:spPr>
        <a:xfrm>
          <a:off x="7704720" y="981000"/>
          <a:ext cx="1738800" cy="1463400"/>
        </a:xfrm>
        <a:prstGeom prst="borderCallout2">
          <a:avLst>
            <a:gd name="adj1" fmla="val 7792"/>
            <a:gd name="adj2" fmla="val -4019"/>
            <a:gd name="adj3" fmla="val 7792"/>
            <a:gd name="adj4" fmla="val -11556"/>
            <a:gd name="adj5" fmla="val 40907"/>
            <a:gd name="adj6" fmla="val -19597"/>
          </a:avLst>
        </a:prstGeom>
        <a:solidFill>
          <a:srgbClr val="FFFFFF"/>
        </a:solidFill>
        <a:ln w="9525">
          <a:solidFill>
            <a:srgbClr val="000000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vertOverflow="clip" lIns="27360" tIns="18360" rIns="0" bIns="0" anchor="t" upright="1">
          <a:noAutofit/>
        </a:bodyPr>
        <a:lstStyle/>
        <a:p>
          <a:pPr>
            <a:lnSpc>
              <a:spcPts val="1199"/>
            </a:lnSpc>
          </a:pPr>
          <a:r>
            <a:rPr lang="en-US" sz="1000" b="0" u="none" strike="noStrike">
              <a:solidFill>
                <a:srgbClr val="000000"/>
              </a:solidFill>
              <a:effectLst/>
              <a:uFillTx/>
              <a:latin typeface="ＭＳ Ｐゴシック"/>
              <a:ea typeface="ＭＳ Ｐゴシック"/>
            </a:rPr>
            <a:t>■</a:t>
          </a:r>
          <a:r>
            <a:rPr lang="ja-JP" sz="1000" b="0" u="none" strike="noStrike">
              <a:solidFill>
                <a:srgbClr val="000000"/>
              </a:solidFill>
              <a:effectLst/>
              <a:uFillTx/>
              <a:latin typeface="ＭＳ Ｐゴシック"/>
              <a:ea typeface="ＭＳ Ｐゴシック"/>
            </a:rPr>
            <a:t>領収証について</a:t>
          </a:r>
          <a:endParaRPr lang="en-US" sz="1000" b="0" u="none" strike="noStrike">
            <a:effectLst/>
            <a:uFillTx/>
            <a:latin typeface="Noto Serif JP"/>
          </a:endParaRPr>
        </a:p>
        <a:p>
          <a:pPr>
            <a:lnSpc>
              <a:spcPts val="1199"/>
            </a:lnSpc>
          </a:pPr>
          <a:r>
            <a:rPr lang="en-US" sz="1000" b="0" u="none" strike="noStrike">
              <a:solidFill>
                <a:srgbClr val="000000"/>
              </a:solidFill>
              <a:effectLst/>
              <a:uFillTx/>
              <a:latin typeface="ＭＳ Ｐゴシック"/>
              <a:ea typeface="ＭＳ Ｐゴシック"/>
            </a:rPr>
            <a:t>◇電車・バスの場合</a:t>
          </a:r>
          <a:endParaRPr lang="en-US" sz="1000" b="0" u="none" strike="noStrike">
            <a:effectLst/>
            <a:uFillTx/>
            <a:latin typeface="Noto Serif JP"/>
          </a:endParaRPr>
        </a:p>
        <a:p>
          <a:pPr>
            <a:lnSpc>
              <a:spcPts val="1199"/>
            </a:lnSpc>
          </a:pPr>
          <a:r>
            <a:rPr lang="ja-JP" sz="1000" b="0" u="none" strike="noStrike">
              <a:solidFill>
                <a:srgbClr val="000000"/>
              </a:solidFill>
              <a:effectLst/>
              <a:uFillTx/>
              <a:latin typeface="ＭＳ Ｐゴシック"/>
              <a:ea typeface="ＭＳ Ｐゴシック"/>
            </a:rPr>
            <a:t>　→１区間の片道金額が</a:t>
          </a:r>
          <a:r>
            <a:rPr lang="en-US" sz="1000" b="0" u="none" strike="noStrike">
              <a:solidFill>
                <a:srgbClr val="000000"/>
              </a:solidFill>
              <a:effectLst/>
              <a:uFillTx/>
              <a:latin typeface="ＭＳ Ｐゴシック"/>
              <a:ea typeface="ＭＳ Ｐゴシック"/>
            </a:rPr>
            <a:t>3,000</a:t>
          </a:r>
          <a:r>
            <a:rPr lang="ja-JP" sz="1000" b="0" u="none" strike="noStrike">
              <a:solidFill>
                <a:srgbClr val="000000"/>
              </a:solidFill>
              <a:effectLst/>
              <a:uFillTx/>
              <a:latin typeface="ＭＳ Ｐゴシック"/>
              <a:ea typeface="ＭＳ Ｐゴシック"/>
            </a:rPr>
            <a:t>円以上の場合は必ず領収証を添付して下さい。</a:t>
          </a:r>
          <a:endParaRPr lang="en-US" sz="1000" b="0" u="none" strike="noStrike">
            <a:effectLst/>
            <a:uFillTx/>
            <a:latin typeface="Noto Serif JP"/>
          </a:endParaRPr>
        </a:p>
        <a:p>
          <a:pPr>
            <a:lnSpc>
              <a:spcPts val="1199"/>
            </a:lnSpc>
          </a:pPr>
          <a:r>
            <a:rPr lang="en-US" sz="1000" b="0" u="none" strike="noStrike">
              <a:solidFill>
                <a:srgbClr val="000000"/>
              </a:solidFill>
              <a:effectLst/>
              <a:uFillTx/>
              <a:latin typeface="ＭＳ Ｐゴシック"/>
              <a:ea typeface="ＭＳ Ｐゴシック"/>
            </a:rPr>
            <a:t>◇タクシーの場合</a:t>
          </a:r>
          <a:endParaRPr lang="en-US" sz="1000" b="0" u="none" strike="noStrike">
            <a:effectLst/>
            <a:uFillTx/>
            <a:latin typeface="Noto Serif JP"/>
          </a:endParaRPr>
        </a:p>
        <a:p>
          <a:pPr>
            <a:lnSpc>
              <a:spcPts val="1199"/>
            </a:lnSpc>
          </a:pPr>
          <a:r>
            <a:rPr lang="ja-JP" sz="1000" b="0" u="none" strike="noStrike">
              <a:solidFill>
                <a:srgbClr val="000000"/>
              </a:solidFill>
              <a:effectLst/>
              <a:uFillTx/>
              <a:latin typeface="ＭＳ Ｐゴシック"/>
              <a:ea typeface="ＭＳ Ｐゴシック"/>
            </a:rPr>
            <a:t>　→必ず領収証を添付して下さい。</a:t>
          </a:r>
          <a:endParaRPr lang="en-US" sz="1000" b="0" u="none" strike="noStrike">
            <a:effectLst/>
            <a:uFillTx/>
            <a:latin typeface="Noto Serif JP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I61"/>
  <sheetViews>
    <sheetView showGridLines="0" showZeros="0" tabSelected="1" view="pageBreakPreview" topLeftCell="A14" zoomScaleNormal="100" workbookViewId="0">
      <selection activeCell="AU15" sqref="AU15:AU16"/>
    </sheetView>
  </sheetViews>
  <sheetFormatPr defaultColWidth="9" defaultRowHeight="13.5" x14ac:dyDescent="0.15"/>
  <cols>
    <col min="1" max="12" width="2.625" style="1" customWidth="1"/>
    <col min="13" max="13" width="3.625" style="1" customWidth="1"/>
    <col min="14" max="46" width="2.625" style="1" customWidth="1"/>
    <col min="47" max="47" width="4.875" style="1" customWidth="1"/>
    <col min="48" max="60" width="2.625" style="1" customWidth="1"/>
    <col min="61" max="16384" width="9" style="1"/>
  </cols>
  <sheetData>
    <row r="1" spans="1:56" ht="24" customHeight="1" x14ac:dyDescent="0.15">
      <c r="A1" s="114"/>
      <c r="B1" s="114"/>
      <c r="C1" s="114"/>
      <c r="D1" s="115" t="s">
        <v>0</v>
      </c>
      <c r="E1" s="115"/>
      <c r="F1" s="115"/>
      <c r="G1" s="115"/>
      <c r="H1" s="115"/>
      <c r="I1" s="115"/>
      <c r="J1" s="115"/>
      <c r="K1" s="115"/>
      <c r="L1" s="115"/>
      <c r="M1" s="115"/>
      <c r="N1" s="115"/>
      <c r="O1" s="115"/>
      <c r="P1" s="115"/>
      <c r="Q1" s="115"/>
      <c r="R1" s="115"/>
      <c r="S1" s="115"/>
      <c r="T1" s="115"/>
      <c r="U1" s="115"/>
      <c r="V1" s="115"/>
      <c r="W1" s="115"/>
      <c r="X1" s="115"/>
      <c r="Y1" s="115"/>
      <c r="Z1" s="115"/>
      <c r="AA1" s="115"/>
      <c r="AB1" s="115"/>
      <c r="AC1" s="115"/>
      <c r="AD1" s="115"/>
      <c r="AE1" s="115"/>
      <c r="AF1" s="115"/>
      <c r="AG1" s="115"/>
      <c r="AH1" s="115"/>
      <c r="AI1" s="115"/>
      <c r="AJ1" s="116"/>
      <c r="AK1" s="116"/>
      <c r="AL1" s="116"/>
      <c r="AM1" s="116"/>
      <c r="AN1" s="116"/>
      <c r="AO1" s="116"/>
      <c r="AP1" s="116"/>
      <c r="AQ1" s="116" t="str">
        <f>IF(会社名="サン・ジャパン", "JP", IF(会社名="SJホールディングス", "HD", ""))</f>
        <v/>
      </c>
      <c r="AR1" s="116"/>
    </row>
    <row r="2" spans="1:56" s="3" customFormat="1" ht="12" customHeight="1" x14ac:dyDescent="0.15">
      <c r="A2" s="117" t="s">
        <v>1</v>
      </c>
      <c r="B2" s="117"/>
      <c r="C2" s="117"/>
      <c r="D2" s="117"/>
      <c r="E2" s="117"/>
      <c r="F2" s="117"/>
      <c r="G2" s="117"/>
      <c r="H2" s="117"/>
      <c r="I2" s="117"/>
      <c r="J2" s="117"/>
      <c r="K2" s="117"/>
      <c r="L2" s="117"/>
      <c r="M2" s="117"/>
      <c r="N2" s="117"/>
      <c r="O2" s="117"/>
      <c r="P2" s="117"/>
      <c r="Q2" s="117"/>
      <c r="R2" s="117"/>
      <c r="S2" s="117"/>
      <c r="T2" s="117"/>
      <c r="U2" s="117"/>
      <c r="V2" s="117"/>
      <c r="W2" s="117"/>
      <c r="X2" s="117"/>
      <c r="Y2" s="117"/>
      <c r="Z2" s="117"/>
      <c r="AA2" s="117"/>
      <c r="AB2" s="117"/>
      <c r="AC2" s="117"/>
      <c r="AD2" s="117"/>
      <c r="AE2" s="117"/>
      <c r="AF2" s="117"/>
      <c r="AG2" s="117"/>
      <c r="AH2" s="117"/>
      <c r="AI2" s="117"/>
      <c r="AJ2" s="117"/>
      <c r="AK2" s="117"/>
      <c r="AL2" s="117"/>
      <c r="AM2" s="2"/>
      <c r="AN2" s="2"/>
      <c r="AO2" s="2"/>
      <c r="AP2" s="2"/>
      <c r="AQ2" s="2"/>
      <c r="AR2" s="2"/>
    </row>
    <row r="3" spans="1:56" s="4" customFormat="1" ht="13.5" customHeight="1" x14ac:dyDescent="0.15">
      <c r="A3" s="118" t="s">
        <v>2</v>
      </c>
      <c r="B3" s="118"/>
      <c r="C3" s="118"/>
      <c r="D3" s="118" t="s">
        <v>3</v>
      </c>
      <c r="E3" s="118"/>
      <c r="F3" s="118"/>
      <c r="G3" s="119" t="s">
        <v>4</v>
      </c>
      <c r="H3" s="119"/>
      <c r="I3" s="119"/>
      <c r="J3" s="118" t="s">
        <v>5</v>
      </c>
      <c r="K3" s="118"/>
      <c r="L3" s="118"/>
      <c r="M3" s="118"/>
      <c r="N3" s="118" t="s">
        <v>6</v>
      </c>
      <c r="O3" s="118"/>
      <c r="P3" s="118"/>
      <c r="Q3" s="118"/>
      <c r="R3" s="118"/>
      <c r="S3" s="118" t="s">
        <v>7</v>
      </c>
      <c r="T3" s="118"/>
      <c r="U3" s="118"/>
      <c r="V3" s="118"/>
      <c r="W3" s="118"/>
      <c r="X3" s="118"/>
      <c r="Y3" s="118"/>
      <c r="Z3" s="118"/>
      <c r="AA3" s="118"/>
      <c r="AB3" s="118"/>
      <c r="AC3" s="118"/>
      <c r="AD3" s="118"/>
      <c r="AE3" s="118"/>
      <c r="AF3" s="118"/>
      <c r="AG3" s="118" t="s">
        <v>8</v>
      </c>
      <c r="AH3" s="118"/>
      <c r="AI3" s="118"/>
      <c r="AJ3" s="118"/>
      <c r="AK3" s="118"/>
      <c r="AL3" s="118"/>
    </row>
    <row r="4" spans="1:56" s="4" customFormat="1" ht="13.5" customHeight="1" x14ac:dyDescent="0.15">
      <c r="A4" s="68"/>
      <c r="B4" s="68"/>
      <c r="C4" s="68"/>
      <c r="D4" s="68"/>
      <c r="E4" s="68"/>
      <c r="F4" s="68"/>
      <c r="G4" s="119"/>
      <c r="H4" s="119"/>
      <c r="I4" s="119"/>
      <c r="J4" s="120" t="s">
        <v>9</v>
      </c>
      <c r="K4" s="120"/>
      <c r="L4" s="120"/>
      <c r="M4" s="120"/>
      <c r="N4" s="121">
        <v>1073</v>
      </c>
      <c r="O4" s="121"/>
      <c r="P4" s="121"/>
      <c r="Q4" s="121"/>
      <c r="R4" s="121"/>
      <c r="S4" s="122" t="s">
        <v>10</v>
      </c>
      <c r="T4" s="122"/>
      <c r="U4" s="122"/>
      <c r="V4" s="122"/>
      <c r="W4" s="122"/>
      <c r="X4" s="122"/>
      <c r="Y4" s="122"/>
      <c r="Z4" s="122"/>
      <c r="AA4" s="122"/>
      <c r="AB4" s="122"/>
      <c r="AC4" s="122"/>
      <c r="AD4" s="123" t="s">
        <v>11</v>
      </c>
      <c r="AE4" s="123"/>
      <c r="AF4" s="123"/>
      <c r="AG4" s="124">
        <f ca="1">NOW()</f>
        <v>46234.41901701389</v>
      </c>
      <c r="AH4" s="124"/>
      <c r="AI4" s="124"/>
      <c r="AJ4" s="124"/>
      <c r="AK4" s="124"/>
      <c r="AL4" s="124"/>
    </row>
    <row r="5" spans="1:56" s="4" customFormat="1" ht="12" x14ac:dyDescent="0.15">
      <c r="A5" s="68"/>
      <c r="B5" s="68"/>
      <c r="C5" s="68"/>
      <c r="D5" s="68"/>
      <c r="E5" s="68"/>
      <c r="F5" s="68"/>
      <c r="G5" s="119"/>
      <c r="H5" s="119"/>
      <c r="I5" s="119"/>
      <c r="J5" s="120"/>
      <c r="K5" s="120"/>
      <c r="L5" s="120"/>
      <c r="M5" s="120"/>
      <c r="N5" s="121"/>
      <c r="O5" s="121"/>
      <c r="P5" s="121"/>
      <c r="Q5" s="121"/>
      <c r="R5" s="121"/>
      <c r="S5" s="122"/>
      <c r="T5" s="122"/>
      <c r="U5" s="122"/>
      <c r="V5" s="122"/>
      <c r="W5" s="122"/>
      <c r="X5" s="122"/>
      <c r="Y5" s="122"/>
      <c r="Z5" s="122"/>
      <c r="AA5" s="122"/>
      <c r="AB5" s="122"/>
      <c r="AC5" s="122"/>
      <c r="AD5" s="123"/>
      <c r="AE5" s="123"/>
      <c r="AF5" s="123"/>
      <c r="AG5" s="124"/>
      <c r="AH5" s="124"/>
      <c r="AI5" s="124"/>
      <c r="AJ5" s="124"/>
      <c r="AK5" s="124"/>
      <c r="AL5" s="124"/>
    </row>
    <row r="6" spans="1:56" s="4" customFormat="1" ht="12" x14ac:dyDescent="0.15">
      <c r="A6" s="68"/>
      <c r="B6" s="68"/>
      <c r="C6" s="68"/>
      <c r="D6" s="68"/>
      <c r="E6" s="68"/>
      <c r="F6" s="68"/>
      <c r="G6" s="119"/>
      <c r="H6" s="119"/>
      <c r="I6" s="119"/>
      <c r="J6" s="120"/>
      <c r="K6" s="120"/>
      <c r="L6" s="120"/>
      <c r="M6" s="120"/>
      <c r="N6" s="121"/>
      <c r="O6" s="121"/>
      <c r="P6" s="121"/>
      <c r="Q6" s="121"/>
      <c r="R6" s="121"/>
      <c r="S6" s="122"/>
      <c r="T6" s="122"/>
      <c r="U6" s="122"/>
      <c r="V6" s="122"/>
      <c r="W6" s="122"/>
      <c r="X6" s="122"/>
      <c r="Y6" s="122"/>
      <c r="Z6" s="122"/>
      <c r="AA6" s="122"/>
      <c r="AB6" s="122"/>
      <c r="AC6" s="122"/>
      <c r="AD6" s="123"/>
      <c r="AE6" s="123"/>
      <c r="AF6" s="123"/>
      <c r="AG6" s="124"/>
      <c r="AH6" s="124"/>
      <c r="AI6" s="124"/>
      <c r="AJ6" s="124"/>
      <c r="AK6" s="124"/>
      <c r="AL6" s="124"/>
    </row>
    <row r="7" spans="1:56" s="4" customFormat="1" ht="12" x14ac:dyDescent="0.15">
      <c r="A7" s="5"/>
      <c r="B7" s="5"/>
      <c r="C7" s="5"/>
      <c r="D7" s="5"/>
      <c r="E7" s="5"/>
      <c r="F7" s="5"/>
      <c r="G7" s="5"/>
      <c r="H7" s="5"/>
      <c r="I7" s="5"/>
      <c r="J7" s="5"/>
      <c r="K7" s="6"/>
      <c r="L7" s="6"/>
      <c r="M7" s="6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</row>
    <row r="8" spans="1:56" ht="24" customHeight="1" x14ac:dyDescent="0.15">
      <c r="A8" s="110" t="s">
        <v>12</v>
      </c>
      <c r="B8" s="110"/>
      <c r="C8" s="110"/>
      <c r="D8" s="111" t="s">
        <v>13</v>
      </c>
      <c r="E8" s="111"/>
      <c r="F8" s="111"/>
      <c r="G8" s="111"/>
      <c r="H8" s="111"/>
      <c r="I8" s="111"/>
      <c r="J8" s="111"/>
      <c r="K8" s="112" t="s">
        <v>14</v>
      </c>
      <c r="L8" s="112"/>
      <c r="M8" s="112"/>
      <c r="N8" s="111" t="s">
        <v>15</v>
      </c>
      <c r="O8" s="111"/>
      <c r="P8" s="111"/>
      <c r="Q8" s="111"/>
      <c r="R8" s="111"/>
      <c r="S8" s="111"/>
      <c r="T8" s="111"/>
      <c r="U8" s="111"/>
      <c r="V8" s="111"/>
      <c r="W8" s="111"/>
      <c r="X8" s="111"/>
      <c r="Y8" s="111"/>
      <c r="Z8" s="111"/>
      <c r="AA8" s="113" t="s">
        <v>16</v>
      </c>
      <c r="AB8" s="113"/>
      <c r="AC8" s="113"/>
      <c r="AD8" s="111" t="s">
        <v>17</v>
      </c>
      <c r="AE8" s="111"/>
      <c r="AF8" s="111" t="s">
        <v>18</v>
      </c>
      <c r="AG8" s="111"/>
      <c r="AH8" s="111"/>
      <c r="AI8" s="111"/>
      <c r="AJ8" s="111" t="s">
        <v>19</v>
      </c>
      <c r="AK8" s="111"/>
      <c r="AL8" s="111"/>
      <c r="AT8" s="7"/>
      <c r="AU8" s="7"/>
      <c r="AV8" s="7"/>
      <c r="AW8" s="7"/>
      <c r="AX8" s="7"/>
      <c r="AY8" s="7"/>
      <c r="AZ8" s="7"/>
      <c r="BA8" s="8"/>
      <c r="BB8" s="8"/>
      <c r="BC8" s="8"/>
      <c r="BD8" s="8"/>
    </row>
    <row r="9" spans="1:56" ht="14.25" customHeight="1" x14ac:dyDescent="0.15">
      <c r="A9" s="97">
        <v>46212</v>
      </c>
      <c r="B9" s="97"/>
      <c r="C9" s="97"/>
      <c r="D9" s="98" t="s">
        <v>20</v>
      </c>
      <c r="E9" s="98"/>
      <c r="F9" s="99" t="s">
        <v>21</v>
      </c>
      <c r="G9" s="99"/>
      <c r="H9" s="99"/>
      <c r="I9" s="99"/>
      <c r="J9" s="99"/>
      <c r="K9" s="94" t="s">
        <v>22</v>
      </c>
      <c r="L9" s="94"/>
      <c r="M9" s="94"/>
      <c r="N9" s="100" t="s">
        <v>23</v>
      </c>
      <c r="O9" s="100"/>
      <c r="P9" s="105" t="s">
        <v>24</v>
      </c>
      <c r="Q9" s="105"/>
      <c r="R9" s="105"/>
      <c r="S9" s="9" t="s">
        <v>25</v>
      </c>
      <c r="T9" s="102" t="s">
        <v>26</v>
      </c>
      <c r="U9" s="102"/>
      <c r="V9" s="102"/>
      <c r="W9" s="10" t="s">
        <v>25</v>
      </c>
      <c r="X9" s="106" t="s">
        <v>27</v>
      </c>
      <c r="Y9" s="106"/>
      <c r="Z9" s="106"/>
      <c r="AA9" s="104">
        <v>1095</v>
      </c>
      <c r="AB9" s="104"/>
      <c r="AC9" s="104"/>
      <c r="AD9" s="94" t="s">
        <v>28</v>
      </c>
      <c r="AE9" s="94"/>
      <c r="AF9" s="95">
        <f>IF(AND(K9="電車・バス", AD9="●"), AA9*2, IF(OR(K9="電車・バス",K9= "タクシー"), AA9, 0))</f>
        <v>2190</v>
      </c>
      <c r="AG9" s="95"/>
      <c r="AH9" s="95"/>
      <c r="AI9" s="95"/>
      <c r="AJ9" s="94"/>
      <c r="AK9" s="94"/>
      <c r="AL9" s="94"/>
      <c r="AT9" s="86"/>
      <c r="AU9" s="86"/>
      <c r="AV9" s="86"/>
      <c r="AW9" s="96"/>
      <c r="AX9" s="96"/>
      <c r="AY9" s="86"/>
      <c r="AZ9" s="86"/>
      <c r="BA9" s="87"/>
      <c r="BB9" s="88"/>
      <c r="BC9" s="88"/>
      <c r="BD9" s="88"/>
    </row>
    <row r="10" spans="1:56" ht="14.25" customHeight="1" x14ac:dyDescent="0.15">
      <c r="A10" s="97"/>
      <c r="B10" s="97"/>
      <c r="C10" s="97"/>
      <c r="D10" s="89" t="s">
        <v>29</v>
      </c>
      <c r="E10" s="89"/>
      <c r="F10" s="109" t="s">
        <v>30</v>
      </c>
      <c r="G10" s="109"/>
      <c r="H10" s="109"/>
      <c r="I10" s="109"/>
      <c r="J10" s="109"/>
      <c r="K10" s="94"/>
      <c r="L10" s="94"/>
      <c r="M10" s="94"/>
      <c r="N10" s="91" t="s">
        <v>31</v>
      </c>
      <c r="O10" s="91"/>
      <c r="P10" s="92" t="s">
        <v>32</v>
      </c>
      <c r="Q10" s="92"/>
      <c r="R10" s="92"/>
      <c r="S10" s="92"/>
      <c r="T10" s="92"/>
      <c r="U10" s="12" t="s">
        <v>25</v>
      </c>
      <c r="V10" s="93" t="s">
        <v>33</v>
      </c>
      <c r="W10" s="93"/>
      <c r="X10" s="93"/>
      <c r="Y10" s="93"/>
      <c r="Z10" s="93"/>
      <c r="AA10" s="104"/>
      <c r="AB10" s="104"/>
      <c r="AC10" s="104"/>
      <c r="AD10" s="94"/>
      <c r="AE10" s="94"/>
      <c r="AF10" s="95"/>
      <c r="AG10" s="95"/>
      <c r="AH10" s="95"/>
      <c r="AI10" s="95"/>
      <c r="AJ10" s="94"/>
      <c r="AK10" s="94"/>
      <c r="AL10" s="94"/>
      <c r="AT10" s="86"/>
      <c r="AU10" s="86"/>
      <c r="AV10" s="86"/>
      <c r="AW10" s="96"/>
      <c r="AX10" s="96"/>
      <c r="AY10" s="86"/>
      <c r="AZ10" s="86"/>
      <c r="BA10" s="87"/>
      <c r="BB10" s="88"/>
      <c r="BC10" s="88"/>
      <c r="BD10" s="88"/>
    </row>
    <row r="11" spans="1:56" ht="14.25" customHeight="1" x14ac:dyDescent="0.15">
      <c r="A11" s="97">
        <v>46226</v>
      </c>
      <c r="B11" s="97"/>
      <c r="C11" s="97"/>
      <c r="D11" s="98" t="s">
        <v>20</v>
      </c>
      <c r="E11" s="98"/>
      <c r="F11" s="99" t="s">
        <v>21</v>
      </c>
      <c r="G11" s="99"/>
      <c r="H11" s="99"/>
      <c r="I11" s="99"/>
      <c r="J11" s="99"/>
      <c r="K11" s="94" t="s">
        <v>22</v>
      </c>
      <c r="L11" s="94"/>
      <c r="M11" s="94"/>
      <c r="N11" s="100" t="s">
        <v>23</v>
      </c>
      <c r="O11" s="100"/>
      <c r="P11" s="105" t="s">
        <v>24</v>
      </c>
      <c r="Q11" s="105"/>
      <c r="R11" s="105"/>
      <c r="S11" s="9" t="s">
        <v>25</v>
      </c>
      <c r="T11" s="102" t="s">
        <v>26</v>
      </c>
      <c r="U11" s="102"/>
      <c r="V11" s="102"/>
      <c r="W11" s="9" t="s">
        <v>25</v>
      </c>
      <c r="X11" s="103" t="s">
        <v>27</v>
      </c>
      <c r="Y11" s="103"/>
      <c r="Z11" s="103"/>
      <c r="AA11" s="104">
        <v>1095</v>
      </c>
      <c r="AB11" s="104"/>
      <c r="AC11" s="104"/>
      <c r="AD11" s="94" t="s">
        <v>28</v>
      </c>
      <c r="AE11" s="94"/>
      <c r="AF11" s="95">
        <f>IF(AND(K11="電車・バス", AD11="●"), AA11*2, IF(OR(K11="電車・バス",K11= "タクシー"), AA11, 0))</f>
        <v>2190</v>
      </c>
      <c r="AG11" s="95"/>
      <c r="AH11" s="95"/>
      <c r="AI11" s="95"/>
      <c r="AJ11" s="94"/>
      <c r="AK11" s="94"/>
      <c r="AL11" s="94"/>
      <c r="AT11" s="86"/>
      <c r="AU11" s="86"/>
      <c r="AV11" s="86"/>
      <c r="AW11" s="96"/>
      <c r="AX11" s="96"/>
      <c r="AY11" s="86"/>
      <c r="AZ11" s="86"/>
      <c r="BA11" s="87"/>
      <c r="BB11" s="88"/>
      <c r="BC11" s="88"/>
      <c r="BD11" s="88"/>
    </row>
    <row r="12" spans="1:56" ht="14.25" customHeight="1" x14ac:dyDescent="0.15">
      <c r="A12" s="97"/>
      <c r="B12" s="97"/>
      <c r="C12" s="97"/>
      <c r="D12" s="89" t="s">
        <v>29</v>
      </c>
      <c r="E12" s="89"/>
      <c r="F12" s="90" t="s">
        <v>30</v>
      </c>
      <c r="G12" s="90"/>
      <c r="H12" s="90"/>
      <c r="I12" s="90"/>
      <c r="J12" s="90"/>
      <c r="K12" s="94"/>
      <c r="L12" s="94"/>
      <c r="M12" s="94"/>
      <c r="N12" s="91" t="s">
        <v>31</v>
      </c>
      <c r="O12" s="91"/>
      <c r="P12" s="92" t="s">
        <v>32</v>
      </c>
      <c r="Q12" s="92"/>
      <c r="R12" s="92"/>
      <c r="S12" s="92"/>
      <c r="T12" s="92"/>
      <c r="U12" s="12" t="s">
        <v>25</v>
      </c>
      <c r="V12" s="93" t="s">
        <v>33</v>
      </c>
      <c r="W12" s="93"/>
      <c r="X12" s="93"/>
      <c r="Y12" s="93"/>
      <c r="Z12" s="93"/>
      <c r="AA12" s="104"/>
      <c r="AB12" s="104"/>
      <c r="AC12" s="104"/>
      <c r="AD12" s="94"/>
      <c r="AE12" s="94"/>
      <c r="AF12" s="95"/>
      <c r="AG12" s="95"/>
      <c r="AH12" s="95"/>
      <c r="AI12" s="95"/>
      <c r="AJ12" s="94"/>
      <c r="AK12" s="94"/>
      <c r="AL12" s="94"/>
      <c r="AT12" s="86"/>
      <c r="AU12" s="86"/>
      <c r="AV12" s="86"/>
      <c r="AW12" s="96"/>
      <c r="AX12" s="96"/>
      <c r="AY12" s="86"/>
      <c r="AZ12" s="86"/>
      <c r="BA12" s="87"/>
      <c r="BB12" s="88"/>
      <c r="BC12" s="88"/>
      <c r="BD12" s="88"/>
    </row>
    <row r="13" spans="1:56" ht="14.25" customHeight="1" x14ac:dyDescent="0.15">
      <c r="A13" s="97"/>
      <c r="B13" s="97"/>
      <c r="C13" s="97"/>
      <c r="D13" s="98" t="s">
        <v>20</v>
      </c>
      <c r="E13" s="98"/>
      <c r="F13" s="99"/>
      <c r="G13" s="99"/>
      <c r="H13" s="99"/>
      <c r="I13" s="99"/>
      <c r="J13" s="99"/>
      <c r="K13" s="94" t="s">
        <v>22</v>
      </c>
      <c r="L13" s="94"/>
      <c r="M13" s="94"/>
      <c r="N13" s="98" t="s">
        <v>23</v>
      </c>
      <c r="O13" s="98"/>
      <c r="P13" s="105"/>
      <c r="Q13" s="105"/>
      <c r="R13" s="105"/>
      <c r="S13" s="9" t="s">
        <v>25</v>
      </c>
      <c r="T13" s="102"/>
      <c r="U13" s="102"/>
      <c r="V13" s="102"/>
      <c r="W13" s="9" t="s">
        <v>25</v>
      </c>
      <c r="X13" s="103"/>
      <c r="Y13" s="103"/>
      <c r="Z13" s="103"/>
      <c r="AA13" s="104"/>
      <c r="AB13" s="104"/>
      <c r="AC13" s="104"/>
      <c r="AD13" s="94"/>
      <c r="AE13" s="94"/>
      <c r="AF13" s="95">
        <f>IF(AND(K13="電車・バス", AD13="●"), AA13*2, IF(OR(K13="電車・バス",K13= "タクシー"), AA13, 0))</f>
        <v>0</v>
      </c>
      <c r="AG13" s="95"/>
      <c r="AH13" s="95"/>
      <c r="AI13" s="95"/>
      <c r="AJ13" s="94"/>
      <c r="AK13" s="94"/>
      <c r="AL13" s="94"/>
      <c r="AT13" s="86"/>
      <c r="AU13" s="86"/>
      <c r="AV13" s="86"/>
      <c r="AW13" s="96"/>
      <c r="AX13" s="96"/>
      <c r="AY13" s="86"/>
      <c r="AZ13" s="86"/>
      <c r="BA13" s="87"/>
      <c r="BB13" s="88"/>
      <c r="BC13" s="88"/>
      <c r="BD13" s="88"/>
    </row>
    <row r="14" spans="1:56" ht="14.25" customHeight="1" x14ac:dyDescent="0.15">
      <c r="A14" s="97"/>
      <c r="B14" s="97"/>
      <c r="C14" s="97"/>
      <c r="D14" s="89" t="s">
        <v>29</v>
      </c>
      <c r="E14" s="89"/>
      <c r="F14" s="90"/>
      <c r="G14" s="90"/>
      <c r="H14" s="90"/>
      <c r="I14" s="90"/>
      <c r="J14" s="90"/>
      <c r="K14" s="94"/>
      <c r="L14" s="94"/>
      <c r="M14" s="94"/>
      <c r="N14" s="89" t="s">
        <v>31</v>
      </c>
      <c r="O14" s="89"/>
      <c r="P14" s="92"/>
      <c r="Q14" s="92"/>
      <c r="R14" s="92"/>
      <c r="S14" s="92"/>
      <c r="T14" s="92"/>
      <c r="U14" s="12" t="s">
        <v>25</v>
      </c>
      <c r="V14" s="93"/>
      <c r="W14" s="93"/>
      <c r="X14" s="93"/>
      <c r="Y14" s="93"/>
      <c r="Z14" s="93"/>
      <c r="AA14" s="104"/>
      <c r="AB14" s="104"/>
      <c r="AC14" s="104"/>
      <c r="AD14" s="94"/>
      <c r="AE14" s="94"/>
      <c r="AF14" s="95"/>
      <c r="AG14" s="95"/>
      <c r="AH14" s="95"/>
      <c r="AI14" s="95"/>
      <c r="AJ14" s="94"/>
      <c r="AK14" s="94"/>
      <c r="AL14" s="94"/>
      <c r="AT14" s="86"/>
      <c r="AU14" s="86"/>
      <c r="AV14" s="86"/>
      <c r="AW14" s="96"/>
      <c r="AX14" s="96"/>
      <c r="AY14" s="86"/>
      <c r="AZ14" s="86"/>
      <c r="BA14" s="87"/>
      <c r="BB14" s="88"/>
      <c r="BC14" s="88"/>
      <c r="BD14" s="88"/>
    </row>
    <row r="15" spans="1:56" ht="14.25" customHeight="1" x14ac:dyDescent="0.15">
      <c r="A15" s="97"/>
      <c r="B15" s="97"/>
      <c r="C15" s="97"/>
      <c r="D15" s="98" t="s">
        <v>20</v>
      </c>
      <c r="E15" s="98"/>
      <c r="F15" s="99"/>
      <c r="G15" s="99"/>
      <c r="H15" s="99"/>
      <c r="I15" s="99"/>
      <c r="J15" s="99"/>
      <c r="K15" s="94" t="s">
        <v>22</v>
      </c>
      <c r="L15" s="94"/>
      <c r="M15" s="94"/>
      <c r="N15" s="98" t="s">
        <v>23</v>
      </c>
      <c r="O15" s="98"/>
      <c r="P15" s="101"/>
      <c r="Q15" s="101"/>
      <c r="R15" s="101"/>
      <c r="S15" s="9" t="s">
        <v>25</v>
      </c>
      <c r="T15" s="102"/>
      <c r="U15" s="102"/>
      <c r="V15" s="102"/>
      <c r="W15" s="9" t="s">
        <v>25</v>
      </c>
      <c r="X15" s="103"/>
      <c r="Y15" s="103"/>
      <c r="Z15" s="103"/>
      <c r="AA15" s="104"/>
      <c r="AB15" s="104"/>
      <c r="AC15" s="104"/>
      <c r="AD15" s="94"/>
      <c r="AE15" s="94"/>
      <c r="AF15" s="95">
        <f>IF(AND(K15="電車・バス", AD15="●"), AA15*2, IF(OR(K15="電車・バス",K15= "タクシー"), AA15, 0))</f>
        <v>0</v>
      </c>
      <c r="AG15" s="95"/>
      <c r="AH15" s="95"/>
      <c r="AI15" s="95"/>
      <c r="AJ15" s="94"/>
      <c r="AK15" s="94"/>
      <c r="AL15" s="94"/>
      <c r="AT15" s="86"/>
      <c r="AU15" s="86"/>
      <c r="AV15" s="86"/>
      <c r="AW15" s="96"/>
      <c r="AX15" s="96"/>
      <c r="AY15" s="86"/>
      <c r="AZ15" s="86"/>
      <c r="BA15" s="87"/>
      <c r="BB15" s="88"/>
      <c r="BC15" s="88"/>
      <c r="BD15" s="88"/>
    </row>
    <row r="16" spans="1:56" ht="14.25" customHeight="1" x14ac:dyDescent="0.15">
      <c r="A16" s="97"/>
      <c r="B16" s="97"/>
      <c r="C16" s="97"/>
      <c r="D16" s="89" t="s">
        <v>29</v>
      </c>
      <c r="E16" s="89"/>
      <c r="F16" s="90"/>
      <c r="G16" s="90"/>
      <c r="H16" s="90"/>
      <c r="I16" s="90"/>
      <c r="J16" s="90"/>
      <c r="K16" s="94"/>
      <c r="L16" s="94"/>
      <c r="M16" s="94"/>
      <c r="N16" s="89" t="s">
        <v>31</v>
      </c>
      <c r="O16" s="89"/>
      <c r="P16" s="92"/>
      <c r="Q16" s="92"/>
      <c r="R16" s="92"/>
      <c r="S16" s="92"/>
      <c r="T16" s="92"/>
      <c r="U16" s="12" t="s">
        <v>25</v>
      </c>
      <c r="V16" s="93"/>
      <c r="W16" s="93"/>
      <c r="X16" s="93"/>
      <c r="Y16" s="93"/>
      <c r="Z16" s="93"/>
      <c r="AA16" s="104"/>
      <c r="AB16" s="104"/>
      <c r="AC16" s="104"/>
      <c r="AD16" s="94"/>
      <c r="AE16" s="94"/>
      <c r="AF16" s="95"/>
      <c r="AG16" s="95"/>
      <c r="AH16" s="95"/>
      <c r="AI16" s="95"/>
      <c r="AJ16" s="94"/>
      <c r="AK16" s="94"/>
      <c r="AL16" s="94"/>
      <c r="AT16" s="86"/>
      <c r="AU16" s="86"/>
      <c r="AV16" s="86"/>
      <c r="AW16" s="96"/>
      <c r="AX16" s="96"/>
      <c r="AY16" s="86"/>
      <c r="AZ16" s="86"/>
      <c r="BA16" s="87"/>
      <c r="BB16" s="88"/>
      <c r="BC16" s="88"/>
      <c r="BD16" s="88"/>
    </row>
    <row r="17" spans="1:61" ht="14.25" customHeight="1" x14ac:dyDescent="0.15">
      <c r="A17" s="97"/>
      <c r="B17" s="97"/>
      <c r="C17" s="97"/>
      <c r="D17" s="98" t="s">
        <v>20</v>
      </c>
      <c r="E17" s="98"/>
      <c r="F17" s="99"/>
      <c r="G17" s="99"/>
      <c r="H17" s="99"/>
      <c r="I17" s="99"/>
      <c r="J17" s="99"/>
      <c r="K17" s="94" t="s">
        <v>22</v>
      </c>
      <c r="L17" s="94"/>
      <c r="M17" s="94"/>
      <c r="N17" s="107" t="s">
        <v>23</v>
      </c>
      <c r="O17" s="107"/>
      <c r="P17" s="108"/>
      <c r="Q17" s="108"/>
      <c r="R17" s="108"/>
      <c r="S17" s="9" t="s">
        <v>25</v>
      </c>
      <c r="T17" s="102"/>
      <c r="U17" s="102"/>
      <c r="V17" s="102"/>
      <c r="W17" s="9" t="s">
        <v>25</v>
      </c>
      <c r="X17" s="103"/>
      <c r="Y17" s="103"/>
      <c r="Z17" s="103"/>
      <c r="AA17" s="104"/>
      <c r="AB17" s="104"/>
      <c r="AC17" s="104"/>
      <c r="AD17" s="94"/>
      <c r="AE17" s="94"/>
      <c r="AF17" s="95">
        <f>IF(AND(K17="電車・バス", AD17="●"), AA17*2, IF(OR(K17="電車・バス",K17= "タクシー"), AA17, 0))</f>
        <v>0</v>
      </c>
      <c r="AG17" s="95"/>
      <c r="AH17" s="95"/>
      <c r="AI17" s="95"/>
      <c r="AJ17" s="94"/>
      <c r="AK17" s="94"/>
      <c r="AL17" s="94"/>
      <c r="AT17" s="86"/>
      <c r="AU17" s="86"/>
      <c r="AV17" s="86"/>
      <c r="AW17" s="96"/>
      <c r="AX17" s="96"/>
      <c r="AY17" s="86"/>
      <c r="AZ17" s="86"/>
      <c r="BA17" s="87"/>
      <c r="BB17" s="88"/>
      <c r="BC17" s="88"/>
      <c r="BD17" s="88"/>
    </row>
    <row r="18" spans="1:61" ht="14.25" customHeight="1" x14ac:dyDescent="0.15">
      <c r="A18" s="97"/>
      <c r="B18" s="97"/>
      <c r="C18" s="97"/>
      <c r="D18" s="89" t="s">
        <v>29</v>
      </c>
      <c r="E18" s="89"/>
      <c r="F18" s="90"/>
      <c r="G18" s="90"/>
      <c r="H18" s="90"/>
      <c r="I18" s="90"/>
      <c r="J18" s="90"/>
      <c r="K18" s="94"/>
      <c r="L18" s="94"/>
      <c r="M18" s="94"/>
      <c r="N18" s="89" t="s">
        <v>31</v>
      </c>
      <c r="O18" s="89"/>
      <c r="P18" s="92"/>
      <c r="Q18" s="92"/>
      <c r="R18" s="92"/>
      <c r="S18" s="92"/>
      <c r="T18" s="92"/>
      <c r="U18" s="12" t="s">
        <v>25</v>
      </c>
      <c r="V18" s="93"/>
      <c r="W18" s="93"/>
      <c r="X18" s="93"/>
      <c r="Y18" s="93"/>
      <c r="Z18" s="93"/>
      <c r="AA18" s="104"/>
      <c r="AB18" s="104"/>
      <c r="AC18" s="104"/>
      <c r="AD18" s="94"/>
      <c r="AE18" s="94"/>
      <c r="AF18" s="95"/>
      <c r="AG18" s="95"/>
      <c r="AH18" s="95"/>
      <c r="AI18" s="95"/>
      <c r="AJ18" s="94"/>
      <c r="AK18" s="94"/>
      <c r="AL18" s="94"/>
      <c r="AT18" s="86"/>
      <c r="AU18" s="86"/>
      <c r="AV18" s="86"/>
      <c r="AW18" s="96"/>
      <c r="AX18" s="96"/>
      <c r="AY18" s="86"/>
      <c r="AZ18" s="86"/>
      <c r="BA18" s="87"/>
      <c r="BB18" s="88"/>
      <c r="BC18" s="88"/>
      <c r="BD18" s="88"/>
    </row>
    <row r="19" spans="1:61" ht="14.25" customHeight="1" x14ac:dyDescent="0.15">
      <c r="A19" s="97"/>
      <c r="B19" s="97"/>
      <c r="C19" s="97"/>
      <c r="D19" s="98" t="s">
        <v>20</v>
      </c>
      <c r="E19" s="98"/>
      <c r="F19" s="99"/>
      <c r="G19" s="99"/>
      <c r="H19" s="99"/>
      <c r="I19" s="99"/>
      <c r="J19" s="99"/>
      <c r="K19" s="94" t="s">
        <v>22</v>
      </c>
      <c r="L19" s="94"/>
      <c r="M19" s="94"/>
      <c r="N19" s="100" t="s">
        <v>23</v>
      </c>
      <c r="O19" s="100"/>
      <c r="P19" s="105"/>
      <c r="Q19" s="105"/>
      <c r="R19" s="105"/>
      <c r="S19" s="9" t="s">
        <v>25</v>
      </c>
      <c r="T19" s="102"/>
      <c r="U19" s="102"/>
      <c r="V19" s="102"/>
      <c r="W19" s="9" t="s">
        <v>25</v>
      </c>
      <c r="X19" s="106"/>
      <c r="Y19" s="106"/>
      <c r="Z19" s="106"/>
      <c r="AA19" s="104"/>
      <c r="AB19" s="104"/>
      <c r="AC19" s="104"/>
      <c r="AD19" s="94"/>
      <c r="AE19" s="94"/>
      <c r="AF19" s="95">
        <f>IF(AND(K19="電車・バス", AD19="●"), AA19*2, IF(OR(K19="電車・バス",K19= "タクシー"), AA19, 0))</f>
        <v>0</v>
      </c>
      <c r="AG19" s="95"/>
      <c r="AH19" s="95"/>
      <c r="AI19" s="95"/>
      <c r="AJ19" s="94"/>
      <c r="AK19" s="94"/>
      <c r="AL19" s="94"/>
      <c r="AT19" s="86"/>
      <c r="AU19" s="86"/>
      <c r="AV19" s="86"/>
      <c r="AW19" s="96"/>
      <c r="AX19" s="96"/>
      <c r="AY19" s="86"/>
      <c r="AZ19" s="86"/>
      <c r="BA19" s="87"/>
      <c r="BB19" s="88"/>
      <c r="BC19" s="88"/>
      <c r="BD19" s="88"/>
    </row>
    <row r="20" spans="1:61" ht="14.25" customHeight="1" x14ac:dyDescent="0.15">
      <c r="A20" s="97"/>
      <c r="B20" s="97"/>
      <c r="C20" s="97"/>
      <c r="D20" s="89" t="s">
        <v>29</v>
      </c>
      <c r="E20" s="89"/>
      <c r="F20" s="90"/>
      <c r="G20" s="90"/>
      <c r="H20" s="90"/>
      <c r="I20" s="90"/>
      <c r="J20" s="90"/>
      <c r="K20" s="94"/>
      <c r="L20" s="94"/>
      <c r="M20" s="94"/>
      <c r="N20" s="91" t="s">
        <v>31</v>
      </c>
      <c r="O20" s="91"/>
      <c r="P20" s="92"/>
      <c r="Q20" s="92"/>
      <c r="R20" s="92"/>
      <c r="S20" s="92"/>
      <c r="T20" s="92"/>
      <c r="U20" s="12" t="s">
        <v>25</v>
      </c>
      <c r="V20" s="93"/>
      <c r="W20" s="93"/>
      <c r="X20" s="93"/>
      <c r="Y20" s="93"/>
      <c r="Z20" s="93"/>
      <c r="AA20" s="104"/>
      <c r="AB20" s="104"/>
      <c r="AC20" s="104"/>
      <c r="AD20" s="94"/>
      <c r="AE20" s="94"/>
      <c r="AF20" s="95"/>
      <c r="AG20" s="95"/>
      <c r="AH20" s="95"/>
      <c r="AI20" s="95"/>
      <c r="AJ20" s="94"/>
      <c r="AK20" s="94"/>
      <c r="AL20" s="94"/>
      <c r="AT20" s="86"/>
      <c r="AU20" s="86"/>
      <c r="AV20" s="86"/>
      <c r="AW20" s="96"/>
      <c r="AX20" s="96"/>
      <c r="AY20" s="86"/>
      <c r="AZ20" s="86"/>
      <c r="BA20" s="87"/>
      <c r="BB20" s="88"/>
      <c r="BC20" s="88"/>
      <c r="BD20" s="88"/>
    </row>
    <row r="21" spans="1:61" ht="14.25" customHeight="1" x14ac:dyDescent="0.15">
      <c r="A21" s="97"/>
      <c r="B21" s="97"/>
      <c r="C21" s="97"/>
      <c r="D21" s="98" t="s">
        <v>20</v>
      </c>
      <c r="E21" s="98"/>
      <c r="F21" s="99"/>
      <c r="G21" s="99"/>
      <c r="H21" s="99"/>
      <c r="I21" s="99"/>
      <c r="J21" s="99"/>
      <c r="K21" s="94" t="s">
        <v>22</v>
      </c>
      <c r="L21" s="94"/>
      <c r="M21" s="94"/>
      <c r="N21" s="98" t="s">
        <v>23</v>
      </c>
      <c r="O21" s="98"/>
      <c r="P21" s="101"/>
      <c r="Q21" s="101"/>
      <c r="R21" s="101"/>
      <c r="S21" s="9" t="s">
        <v>25</v>
      </c>
      <c r="T21" s="102"/>
      <c r="U21" s="102"/>
      <c r="V21" s="102"/>
      <c r="W21" s="9" t="s">
        <v>25</v>
      </c>
      <c r="X21" s="103"/>
      <c r="Y21" s="103"/>
      <c r="Z21" s="103"/>
      <c r="AA21" s="104"/>
      <c r="AB21" s="104"/>
      <c r="AC21" s="104"/>
      <c r="AD21" s="94"/>
      <c r="AE21" s="94"/>
      <c r="AF21" s="95">
        <f>IF(AND(K21="電車・バス", AD21="●"), AA21*2, IF(OR(K21="電車・バス",K21= "タクシー"), AA21, 0))</f>
        <v>0</v>
      </c>
      <c r="AG21" s="95"/>
      <c r="AH21" s="95"/>
      <c r="AI21" s="95"/>
      <c r="AJ21" s="94"/>
      <c r="AK21" s="94"/>
      <c r="AL21" s="94"/>
      <c r="AT21" s="86"/>
      <c r="AU21" s="86"/>
      <c r="AV21" s="86"/>
      <c r="AW21" s="96"/>
      <c r="AX21" s="96"/>
      <c r="AY21" s="86"/>
      <c r="AZ21" s="86"/>
      <c r="BA21" s="87"/>
      <c r="BB21" s="88"/>
      <c r="BC21" s="88"/>
      <c r="BD21" s="88"/>
    </row>
    <row r="22" spans="1:61" ht="14.25" customHeight="1" x14ac:dyDescent="0.15">
      <c r="A22" s="97"/>
      <c r="B22" s="97"/>
      <c r="C22" s="97"/>
      <c r="D22" s="89" t="s">
        <v>29</v>
      </c>
      <c r="E22" s="89"/>
      <c r="F22" s="90"/>
      <c r="G22" s="90"/>
      <c r="H22" s="90"/>
      <c r="I22" s="90"/>
      <c r="J22" s="90"/>
      <c r="K22" s="94"/>
      <c r="L22" s="94"/>
      <c r="M22" s="94"/>
      <c r="N22" s="89" t="s">
        <v>31</v>
      </c>
      <c r="O22" s="89"/>
      <c r="P22" s="92"/>
      <c r="Q22" s="92"/>
      <c r="R22" s="92"/>
      <c r="S22" s="92"/>
      <c r="T22" s="92"/>
      <c r="U22" s="12" t="s">
        <v>25</v>
      </c>
      <c r="V22" s="93"/>
      <c r="W22" s="93"/>
      <c r="X22" s="93"/>
      <c r="Y22" s="93"/>
      <c r="Z22" s="93"/>
      <c r="AA22" s="104"/>
      <c r="AB22" s="104"/>
      <c r="AC22" s="104"/>
      <c r="AD22" s="94"/>
      <c r="AE22" s="94"/>
      <c r="AF22" s="95"/>
      <c r="AG22" s="95"/>
      <c r="AH22" s="95"/>
      <c r="AI22" s="95"/>
      <c r="AJ22" s="94"/>
      <c r="AK22" s="94"/>
      <c r="AL22" s="94"/>
      <c r="AT22" s="86"/>
      <c r="AU22" s="86"/>
      <c r="AV22" s="86"/>
      <c r="AW22" s="96"/>
      <c r="AX22" s="96"/>
      <c r="AY22" s="86"/>
      <c r="AZ22" s="86"/>
      <c r="BA22" s="87"/>
      <c r="BB22" s="88"/>
      <c r="BC22" s="88"/>
      <c r="BD22" s="88"/>
    </row>
    <row r="23" spans="1:61" ht="14.25" customHeight="1" x14ac:dyDescent="0.15">
      <c r="A23" s="97"/>
      <c r="B23" s="97"/>
      <c r="C23" s="97"/>
      <c r="D23" s="98" t="s">
        <v>20</v>
      </c>
      <c r="E23" s="98"/>
      <c r="F23" s="99"/>
      <c r="G23" s="99"/>
      <c r="H23" s="99"/>
      <c r="I23" s="99"/>
      <c r="J23" s="99"/>
      <c r="K23" s="94" t="s">
        <v>22</v>
      </c>
      <c r="L23" s="94"/>
      <c r="M23" s="94"/>
      <c r="N23" s="98" t="s">
        <v>23</v>
      </c>
      <c r="O23" s="98"/>
      <c r="P23" s="101"/>
      <c r="Q23" s="101"/>
      <c r="R23" s="101"/>
      <c r="S23" s="9" t="s">
        <v>25</v>
      </c>
      <c r="T23" s="102"/>
      <c r="U23" s="102"/>
      <c r="V23" s="102"/>
      <c r="W23" s="9" t="s">
        <v>25</v>
      </c>
      <c r="X23" s="103"/>
      <c r="Y23" s="103"/>
      <c r="Z23" s="103"/>
      <c r="AA23" s="104"/>
      <c r="AB23" s="104"/>
      <c r="AC23" s="104"/>
      <c r="AD23" s="94"/>
      <c r="AE23" s="94"/>
      <c r="AF23" s="95">
        <f>IF(AND(K23="電車・バス", AD23="●"), AA23*2, IF(OR(K23="電車・バス",K23= "タクシー"), AA23, 0))</f>
        <v>0</v>
      </c>
      <c r="AG23" s="95"/>
      <c r="AH23" s="95"/>
      <c r="AI23" s="95"/>
      <c r="AJ23" s="94"/>
      <c r="AK23" s="94"/>
      <c r="AL23" s="94"/>
      <c r="AT23" s="86"/>
      <c r="AU23" s="86"/>
      <c r="AV23" s="86"/>
      <c r="AW23" s="96"/>
      <c r="AX23" s="96"/>
      <c r="AY23" s="86"/>
      <c r="AZ23" s="86"/>
      <c r="BA23" s="87"/>
      <c r="BB23" s="88"/>
      <c r="BC23" s="88"/>
      <c r="BD23" s="88"/>
    </row>
    <row r="24" spans="1:61" ht="14.25" customHeight="1" x14ac:dyDescent="0.15">
      <c r="A24" s="97"/>
      <c r="B24" s="97"/>
      <c r="C24" s="97"/>
      <c r="D24" s="89" t="s">
        <v>29</v>
      </c>
      <c r="E24" s="89"/>
      <c r="F24" s="90"/>
      <c r="G24" s="90"/>
      <c r="H24" s="90"/>
      <c r="I24" s="90"/>
      <c r="J24" s="90"/>
      <c r="K24" s="94"/>
      <c r="L24" s="94"/>
      <c r="M24" s="94"/>
      <c r="N24" s="89" t="s">
        <v>31</v>
      </c>
      <c r="O24" s="89"/>
      <c r="P24" s="92"/>
      <c r="Q24" s="92"/>
      <c r="R24" s="92"/>
      <c r="S24" s="92"/>
      <c r="T24" s="92"/>
      <c r="U24" s="12" t="s">
        <v>25</v>
      </c>
      <c r="V24" s="93"/>
      <c r="W24" s="93"/>
      <c r="X24" s="93"/>
      <c r="Y24" s="93"/>
      <c r="Z24" s="93"/>
      <c r="AA24" s="104"/>
      <c r="AB24" s="104"/>
      <c r="AC24" s="104"/>
      <c r="AD24" s="94"/>
      <c r="AE24" s="94"/>
      <c r="AF24" s="95"/>
      <c r="AG24" s="95"/>
      <c r="AH24" s="95"/>
      <c r="AI24" s="95"/>
      <c r="AJ24" s="94"/>
      <c r="AK24" s="94"/>
      <c r="AL24" s="94"/>
      <c r="AT24" s="86"/>
      <c r="AU24" s="86"/>
      <c r="AV24" s="86"/>
      <c r="AW24" s="96"/>
      <c r="AX24" s="96"/>
      <c r="AY24" s="86"/>
      <c r="AZ24" s="86"/>
      <c r="BA24" s="87"/>
      <c r="BB24" s="88"/>
      <c r="BC24" s="88"/>
      <c r="BD24" s="88"/>
    </row>
    <row r="25" spans="1:61" ht="14.25" customHeight="1" x14ac:dyDescent="0.15">
      <c r="A25" s="97"/>
      <c r="B25" s="97"/>
      <c r="C25" s="97"/>
      <c r="D25" s="98" t="s">
        <v>20</v>
      </c>
      <c r="E25" s="98"/>
      <c r="F25" s="99"/>
      <c r="G25" s="99"/>
      <c r="H25" s="99"/>
      <c r="I25" s="99"/>
      <c r="J25" s="99"/>
      <c r="K25" s="94" t="s">
        <v>22</v>
      </c>
      <c r="L25" s="94"/>
      <c r="M25" s="94"/>
      <c r="N25" s="100" t="s">
        <v>23</v>
      </c>
      <c r="O25" s="100"/>
      <c r="P25" s="105"/>
      <c r="Q25" s="105"/>
      <c r="R25" s="105"/>
      <c r="S25" s="9" t="s">
        <v>25</v>
      </c>
      <c r="T25" s="102"/>
      <c r="U25" s="102"/>
      <c r="V25" s="102"/>
      <c r="W25" s="9" t="s">
        <v>25</v>
      </c>
      <c r="X25" s="106"/>
      <c r="Y25" s="106"/>
      <c r="Z25" s="106"/>
      <c r="AA25" s="104"/>
      <c r="AB25" s="104"/>
      <c r="AC25" s="104"/>
      <c r="AD25" s="94"/>
      <c r="AE25" s="94"/>
      <c r="AF25" s="95">
        <f>IF(AND(K25="電車・バス", AD25="●"), AA25*2, IF(OR(K25="電車・バス",K25= "タクシー"), AA25, 0))</f>
        <v>0</v>
      </c>
      <c r="AG25" s="95"/>
      <c r="AH25" s="95"/>
      <c r="AI25" s="95"/>
      <c r="AJ25" s="94"/>
      <c r="AK25" s="94"/>
      <c r="AL25" s="94"/>
      <c r="AT25" s="86"/>
      <c r="AU25" s="86"/>
      <c r="AV25" s="86"/>
      <c r="AW25" s="96"/>
      <c r="AX25" s="96"/>
      <c r="AY25" s="86"/>
      <c r="AZ25" s="86"/>
      <c r="BA25" s="87"/>
      <c r="BB25" s="88"/>
      <c r="BC25" s="88"/>
      <c r="BD25" s="88"/>
    </row>
    <row r="26" spans="1:61" ht="14.25" customHeight="1" x14ac:dyDescent="0.15">
      <c r="A26" s="97"/>
      <c r="B26" s="97"/>
      <c r="C26" s="97"/>
      <c r="D26" s="89" t="s">
        <v>29</v>
      </c>
      <c r="E26" s="89"/>
      <c r="F26" s="90"/>
      <c r="G26" s="90"/>
      <c r="H26" s="90"/>
      <c r="I26" s="90"/>
      <c r="J26" s="90"/>
      <c r="K26" s="94"/>
      <c r="L26" s="94"/>
      <c r="M26" s="94"/>
      <c r="N26" s="91" t="s">
        <v>31</v>
      </c>
      <c r="O26" s="91"/>
      <c r="P26" s="92"/>
      <c r="Q26" s="92"/>
      <c r="R26" s="92"/>
      <c r="S26" s="92"/>
      <c r="T26" s="92"/>
      <c r="U26" s="12" t="s">
        <v>25</v>
      </c>
      <c r="V26" s="93"/>
      <c r="W26" s="93"/>
      <c r="X26" s="93"/>
      <c r="Y26" s="93"/>
      <c r="Z26" s="93"/>
      <c r="AA26" s="104"/>
      <c r="AB26" s="104"/>
      <c r="AC26" s="104"/>
      <c r="AD26" s="94"/>
      <c r="AE26" s="94"/>
      <c r="AF26" s="95"/>
      <c r="AG26" s="95"/>
      <c r="AH26" s="95"/>
      <c r="AI26" s="95"/>
      <c r="AJ26" s="94"/>
      <c r="AK26" s="94"/>
      <c r="AL26" s="94"/>
      <c r="AT26" s="86"/>
      <c r="AU26" s="86"/>
      <c r="AV26" s="86"/>
      <c r="AW26" s="96"/>
      <c r="AX26" s="96"/>
      <c r="AY26" s="86"/>
      <c r="AZ26" s="86"/>
      <c r="BA26" s="87"/>
      <c r="BB26" s="88"/>
      <c r="BC26" s="88"/>
      <c r="BD26" s="88"/>
      <c r="BI26" s="1" t="s">
        <v>34</v>
      </c>
    </row>
    <row r="27" spans="1:61" ht="14.25" customHeight="1" x14ac:dyDescent="0.15">
      <c r="A27" s="97"/>
      <c r="B27" s="97"/>
      <c r="C27" s="97"/>
      <c r="D27" s="98" t="s">
        <v>20</v>
      </c>
      <c r="E27" s="98"/>
      <c r="F27" s="99"/>
      <c r="G27" s="99"/>
      <c r="H27" s="99"/>
      <c r="I27" s="99"/>
      <c r="J27" s="99"/>
      <c r="K27" s="94" t="s">
        <v>22</v>
      </c>
      <c r="L27" s="94"/>
      <c r="M27" s="94"/>
      <c r="N27" s="100" t="s">
        <v>23</v>
      </c>
      <c r="O27" s="100"/>
      <c r="P27" s="105"/>
      <c r="Q27" s="105"/>
      <c r="R27" s="105"/>
      <c r="S27" s="9" t="s">
        <v>25</v>
      </c>
      <c r="T27" s="102"/>
      <c r="U27" s="102"/>
      <c r="V27" s="102"/>
      <c r="W27" s="9" t="s">
        <v>25</v>
      </c>
      <c r="X27" s="106"/>
      <c r="Y27" s="106"/>
      <c r="Z27" s="106"/>
      <c r="AA27" s="104"/>
      <c r="AB27" s="104"/>
      <c r="AC27" s="104"/>
      <c r="AD27" s="94"/>
      <c r="AE27" s="94"/>
      <c r="AF27" s="95">
        <f>IF(AND(K27="電車・バス", AD27="●"), AA27*2, IF(OR(K27="電車・バス",K27= "タクシー"), AA27, 0))</f>
        <v>0</v>
      </c>
      <c r="AG27" s="95"/>
      <c r="AH27" s="95"/>
      <c r="AI27" s="95"/>
      <c r="AJ27" s="94"/>
      <c r="AK27" s="94"/>
      <c r="AL27" s="94"/>
      <c r="AT27" s="86"/>
      <c r="AU27" s="86"/>
      <c r="AV27" s="86"/>
      <c r="AW27" s="96"/>
      <c r="AX27" s="96"/>
      <c r="AY27" s="86"/>
      <c r="AZ27" s="86"/>
      <c r="BA27" s="87"/>
      <c r="BB27" s="88"/>
      <c r="BC27" s="88"/>
      <c r="BD27" s="88"/>
    </row>
    <row r="28" spans="1:61" ht="14.25" customHeight="1" x14ac:dyDescent="0.15">
      <c r="A28" s="97"/>
      <c r="B28" s="97"/>
      <c r="C28" s="97"/>
      <c r="D28" s="89" t="s">
        <v>29</v>
      </c>
      <c r="E28" s="89"/>
      <c r="F28" s="90"/>
      <c r="G28" s="90"/>
      <c r="H28" s="90"/>
      <c r="I28" s="90"/>
      <c r="J28" s="90"/>
      <c r="K28" s="94"/>
      <c r="L28" s="94"/>
      <c r="M28" s="94"/>
      <c r="N28" s="91" t="s">
        <v>31</v>
      </c>
      <c r="O28" s="91"/>
      <c r="P28" s="92"/>
      <c r="Q28" s="92"/>
      <c r="R28" s="92"/>
      <c r="S28" s="92"/>
      <c r="T28" s="92"/>
      <c r="U28" s="12" t="s">
        <v>25</v>
      </c>
      <c r="V28" s="93"/>
      <c r="W28" s="93"/>
      <c r="X28" s="93"/>
      <c r="Y28" s="93"/>
      <c r="Z28" s="93"/>
      <c r="AA28" s="104"/>
      <c r="AB28" s="104"/>
      <c r="AC28" s="104"/>
      <c r="AD28" s="94"/>
      <c r="AE28" s="94"/>
      <c r="AF28" s="95"/>
      <c r="AG28" s="95"/>
      <c r="AH28" s="95"/>
      <c r="AI28" s="95"/>
      <c r="AJ28" s="94"/>
      <c r="AK28" s="94"/>
      <c r="AL28" s="94"/>
      <c r="AT28" s="86"/>
      <c r="AU28" s="86"/>
      <c r="AV28" s="86"/>
      <c r="AW28" s="96"/>
      <c r="AX28" s="96"/>
      <c r="AY28" s="86"/>
      <c r="AZ28" s="86"/>
      <c r="BA28" s="87"/>
      <c r="BB28" s="88"/>
      <c r="BC28" s="88"/>
      <c r="BD28" s="88"/>
    </row>
    <row r="29" spans="1:61" ht="14.25" customHeight="1" x14ac:dyDescent="0.15">
      <c r="A29" s="97"/>
      <c r="B29" s="97"/>
      <c r="C29" s="97"/>
      <c r="D29" s="98" t="s">
        <v>20</v>
      </c>
      <c r="E29" s="98"/>
      <c r="F29" s="99"/>
      <c r="G29" s="99"/>
      <c r="H29" s="99"/>
      <c r="I29" s="99"/>
      <c r="J29" s="99"/>
      <c r="K29" s="94" t="s">
        <v>22</v>
      </c>
      <c r="L29" s="94"/>
      <c r="M29" s="94"/>
      <c r="N29" s="100" t="s">
        <v>23</v>
      </c>
      <c r="O29" s="100"/>
      <c r="P29" s="105"/>
      <c r="Q29" s="105"/>
      <c r="R29" s="105"/>
      <c r="S29" s="9" t="s">
        <v>25</v>
      </c>
      <c r="T29" s="102"/>
      <c r="U29" s="102"/>
      <c r="V29" s="102"/>
      <c r="W29" s="9" t="s">
        <v>25</v>
      </c>
      <c r="X29" s="106"/>
      <c r="Y29" s="106"/>
      <c r="Z29" s="106"/>
      <c r="AA29" s="104"/>
      <c r="AB29" s="104"/>
      <c r="AC29" s="104"/>
      <c r="AD29" s="94"/>
      <c r="AE29" s="94"/>
      <c r="AF29" s="95">
        <f>IF(AND(K29="電車・バス", AD29="●"), AA29*2, IF(OR(K29="電車・バス",K29= "タクシー"), AA29, 0))</f>
        <v>0</v>
      </c>
      <c r="AG29" s="95"/>
      <c r="AH29" s="95"/>
      <c r="AI29" s="95"/>
      <c r="AJ29" s="94"/>
      <c r="AK29" s="94"/>
      <c r="AL29" s="94"/>
      <c r="AT29" s="86"/>
      <c r="AU29" s="86"/>
      <c r="AV29" s="86"/>
      <c r="AW29" s="96"/>
      <c r="AX29" s="96"/>
      <c r="AY29" s="86"/>
      <c r="AZ29" s="86"/>
      <c r="BA29" s="87"/>
      <c r="BB29" s="88"/>
      <c r="BC29" s="88"/>
      <c r="BD29" s="88"/>
    </row>
    <row r="30" spans="1:61" ht="14.25" customHeight="1" x14ac:dyDescent="0.15">
      <c r="A30" s="97"/>
      <c r="B30" s="97"/>
      <c r="C30" s="97"/>
      <c r="D30" s="89" t="s">
        <v>29</v>
      </c>
      <c r="E30" s="89"/>
      <c r="F30" s="90"/>
      <c r="G30" s="90"/>
      <c r="H30" s="90"/>
      <c r="I30" s="90"/>
      <c r="J30" s="90"/>
      <c r="K30" s="94"/>
      <c r="L30" s="94"/>
      <c r="M30" s="94"/>
      <c r="N30" s="91" t="s">
        <v>31</v>
      </c>
      <c r="O30" s="91"/>
      <c r="P30" s="92"/>
      <c r="Q30" s="92"/>
      <c r="R30" s="92"/>
      <c r="S30" s="92"/>
      <c r="T30" s="92"/>
      <c r="U30" s="12" t="s">
        <v>25</v>
      </c>
      <c r="V30" s="93"/>
      <c r="W30" s="93"/>
      <c r="X30" s="93"/>
      <c r="Y30" s="93"/>
      <c r="Z30" s="93"/>
      <c r="AA30" s="104"/>
      <c r="AB30" s="104"/>
      <c r="AC30" s="104"/>
      <c r="AD30" s="94"/>
      <c r="AE30" s="94"/>
      <c r="AF30" s="95"/>
      <c r="AG30" s="95"/>
      <c r="AH30" s="95"/>
      <c r="AI30" s="95"/>
      <c r="AJ30" s="94"/>
      <c r="AK30" s="94"/>
      <c r="AL30" s="94"/>
      <c r="AT30" s="86"/>
      <c r="AU30" s="86"/>
      <c r="AV30" s="86"/>
      <c r="AW30" s="96"/>
      <c r="AX30" s="96"/>
      <c r="AY30" s="86"/>
      <c r="AZ30" s="86"/>
      <c r="BA30" s="87"/>
      <c r="BB30" s="88"/>
      <c r="BC30" s="88"/>
      <c r="BD30" s="88"/>
    </row>
    <row r="31" spans="1:61" ht="14.25" customHeight="1" x14ac:dyDescent="0.15">
      <c r="A31" s="97"/>
      <c r="B31" s="97"/>
      <c r="C31" s="97"/>
      <c r="D31" s="98" t="s">
        <v>20</v>
      </c>
      <c r="E31" s="98"/>
      <c r="F31" s="99"/>
      <c r="G31" s="99"/>
      <c r="H31" s="99"/>
      <c r="I31" s="99"/>
      <c r="J31" s="99"/>
      <c r="K31" s="94" t="s">
        <v>22</v>
      </c>
      <c r="L31" s="94"/>
      <c r="M31" s="94"/>
      <c r="N31" s="100" t="s">
        <v>23</v>
      </c>
      <c r="O31" s="100"/>
      <c r="P31" s="105"/>
      <c r="Q31" s="105"/>
      <c r="R31" s="105"/>
      <c r="S31" s="9" t="s">
        <v>25</v>
      </c>
      <c r="T31" s="102"/>
      <c r="U31" s="102"/>
      <c r="V31" s="102"/>
      <c r="W31" s="9" t="s">
        <v>25</v>
      </c>
      <c r="X31" s="106"/>
      <c r="Y31" s="106"/>
      <c r="Z31" s="106"/>
      <c r="AA31" s="104"/>
      <c r="AB31" s="104"/>
      <c r="AC31" s="104"/>
      <c r="AD31" s="94"/>
      <c r="AE31" s="94"/>
      <c r="AF31" s="95">
        <f>IF(AND(K31="電車・バス", AD31="●"), AA31*2, IF(OR(K31="電車・バス",K31= "タクシー"), AA31, 0))</f>
        <v>0</v>
      </c>
      <c r="AG31" s="95"/>
      <c r="AH31" s="95"/>
      <c r="AI31" s="95"/>
      <c r="AJ31" s="94"/>
      <c r="AK31" s="94"/>
      <c r="AL31" s="94"/>
      <c r="AT31" s="86"/>
      <c r="AU31" s="86"/>
      <c r="AV31" s="86"/>
      <c r="AW31" s="96"/>
      <c r="AX31" s="96"/>
      <c r="AY31" s="86"/>
      <c r="AZ31" s="86"/>
      <c r="BA31" s="87"/>
      <c r="BB31" s="88"/>
      <c r="BC31" s="88"/>
      <c r="BD31" s="88"/>
    </row>
    <row r="32" spans="1:61" ht="14.25" customHeight="1" x14ac:dyDescent="0.15">
      <c r="A32" s="97"/>
      <c r="B32" s="97"/>
      <c r="C32" s="97"/>
      <c r="D32" s="89" t="s">
        <v>29</v>
      </c>
      <c r="E32" s="89"/>
      <c r="F32" s="90"/>
      <c r="G32" s="90"/>
      <c r="H32" s="90"/>
      <c r="I32" s="90"/>
      <c r="J32" s="90"/>
      <c r="K32" s="94"/>
      <c r="L32" s="94"/>
      <c r="M32" s="94"/>
      <c r="N32" s="91" t="s">
        <v>31</v>
      </c>
      <c r="O32" s="91"/>
      <c r="P32" s="92"/>
      <c r="Q32" s="92"/>
      <c r="R32" s="92"/>
      <c r="S32" s="92"/>
      <c r="T32" s="92"/>
      <c r="U32" s="12" t="s">
        <v>25</v>
      </c>
      <c r="V32" s="93"/>
      <c r="W32" s="93"/>
      <c r="X32" s="93"/>
      <c r="Y32" s="93"/>
      <c r="Z32" s="93"/>
      <c r="AA32" s="104"/>
      <c r="AB32" s="104"/>
      <c r="AC32" s="104"/>
      <c r="AD32" s="94"/>
      <c r="AE32" s="94"/>
      <c r="AF32" s="95"/>
      <c r="AG32" s="95"/>
      <c r="AH32" s="95"/>
      <c r="AI32" s="95"/>
      <c r="AJ32" s="94"/>
      <c r="AK32" s="94"/>
      <c r="AL32" s="94"/>
      <c r="AT32" s="86"/>
      <c r="AU32" s="86"/>
      <c r="AV32" s="86"/>
      <c r="AW32" s="96"/>
      <c r="AX32" s="96"/>
      <c r="AY32" s="86"/>
      <c r="AZ32" s="86"/>
      <c r="BA32" s="87"/>
      <c r="BB32" s="88"/>
      <c r="BC32" s="88"/>
      <c r="BD32" s="88"/>
    </row>
    <row r="33" spans="1:56" ht="14.25" customHeight="1" x14ac:dyDescent="0.15">
      <c r="A33" s="97"/>
      <c r="B33" s="97"/>
      <c r="C33" s="97"/>
      <c r="D33" s="98" t="s">
        <v>20</v>
      </c>
      <c r="E33" s="98"/>
      <c r="F33" s="99"/>
      <c r="G33" s="99"/>
      <c r="H33" s="99"/>
      <c r="I33" s="99"/>
      <c r="J33" s="99"/>
      <c r="K33" s="94" t="s">
        <v>22</v>
      </c>
      <c r="L33" s="94"/>
      <c r="M33" s="94"/>
      <c r="N33" s="100" t="s">
        <v>23</v>
      </c>
      <c r="O33" s="100"/>
      <c r="P33" s="101"/>
      <c r="Q33" s="101"/>
      <c r="R33" s="101"/>
      <c r="S33" s="9" t="s">
        <v>25</v>
      </c>
      <c r="T33" s="102"/>
      <c r="U33" s="102"/>
      <c r="V33" s="102"/>
      <c r="W33" s="9" t="s">
        <v>25</v>
      </c>
      <c r="X33" s="103"/>
      <c r="Y33" s="103"/>
      <c r="Z33" s="103"/>
      <c r="AA33" s="104"/>
      <c r="AB33" s="104"/>
      <c r="AC33" s="104"/>
      <c r="AD33" s="94"/>
      <c r="AE33" s="94"/>
      <c r="AF33" s="95">
        <f>IF(AND(K33="電車・バス", AD33="●"), AA33*2, IF(OR(K33="電車・バス",K33= "タクシー"), AA33, 0))</f>
        <v>0</v>
      </c>
      <c r="AG33" s="95"/>
      <c r="AH33" s="95"/>
      <c r="AI33" s="95"/>
      <c r="AJ33" s="94"/>
      <c r="AK33" s="94"/>
      <c r="AL33" s="94"/>
      <c r="AT33" s="86"/>
      <c r="AU33" s="86"/>
      <c r="AV33" s="86"/>
      <c r="AW33" s="96"/>
      <c r="AX33" s="96"/>
      <c r="AY33" s="86"/>
      <c r="AZ33" s="86"/>
      <c r="BA33" s="87"/>
      <c r="BB33" s="88"/>
      <c r="BC33" s="88"/>
      <c r="BD33" s="88"/>
    </row>
    <row r="34" spans="1:56" ht="14.25" customHeight="1" x14ac:dyDescent="0.15">
      <c r="A34" s="97"/>
      <c r="B34" s="97"/>
      <c r="C34" s="97"/>
      <c r="D34" s="89" t="s">
        <v>29</v>
      </c>
      <c r="E34" s="89"/>
      <c r="F34" s="90"/>
      <c r="G34" s="90"/>
      <c r="H34" s="90"/>
      <c r="I34" s="90"/>
      <c r="J34" s="90"/>
      <c r="K34" s="94"/>
      <c r="L34" s="94"/>
      <c r="M34" s="94"/>
      <c r="N34" s="91" t="s">
        <v>31</v>
      </c>
      <c r="O34" s="91"/>
      <c r="P34" s="92"/>
      <c r="Q34" s="92"/>
      <c r="R34" s="92"/>
      <c r="S34" s="92"/>
      <c r="T34" s="92"/>
      <c r="U34" s="12" t="s">
        <v>25</v>
      </c>
      <c r="V34" s="93"/>
      <c r="W34" s="93"/>
      <c r="X34" s="93"/>
      <c r="Y34" s="93"/>
      <c r="Z34" s="93"/>
      <c r="AA34" s="104"/>
      <c r="AB34" s="104"/>
      <c r="AC34" s="104"/>
      <c r="AD34" s="94"/>
      <c r="AE34" s="94"/>
      <c r="AF34" s="95"/>
      <c r="AG34" s="95"/>
      <c r="AH34" s="95"/>
      <c r="AI34" s="95"/>
      <c r="AJ34" s="94"/>
      <c r="AK34" s="94"/>
      <c r="AL34" s="94"/>
      <c r="AT34" s="86"/>
      <c r="AU34" s="86"/>
      <c r="AV34" s="86"/>
      <c r="AW34" s="96"/>
      <c r="AX34" s="96"/>
      <c r="AY34" s="86"/>
      <c r="AZ34" s="86"/>
      <c r="BA34" s="87"/>
      <c r="BB34" s="88"/>
      <c r="BC34" s="88"/>
      <c r="BD34" s="88"/>
    </row>
    <row r="35" spans="1:56" ht="14.25" customHeight="1" x14ac:dyDescent="0.15">
      <c r="A35" s="97"/>
      <c r="B35" s="97"/>
      <c r="C35" s="97"/>
      <c r="D35" s="98" t="s">
        <v>20</v>
      </c>
      <c r="E35" s="98"/>
      <c r="F35" s="99"/>
      <c r="G35" s="99"/>
      <c r="H35" s="99"/>
      <c r="I35" s="99"/>
      <c r="J35" s="99"/>
      <c r="K35" s="94" t="s">
        <v>22</v>
      </c>
      <c r="L35" s="94"/>
      <c r="M35" s="94"/>
      <c r="N35" s="100" t="s">
        <v>23</v>
      </c>
      <c r="O35" s="100"/>
      <c r="P35" s="101"/>
      <c r="Q35" s="101"/>
      <c r="R35" s="101"/>
      <c r="S35" s="9" t="s">
        <v>25</v>
      </c>
      <c r="T35" s="102"/>
      <c r="U35" s="102"/>
      <c r="V35" s="102"/>
      <c r="W35" s="9" t="s">
        <v>25</v>
      </c>
      <c r="X35" s="103"/>
      <c r="Y35" s="103"/>
      <c r="Z35" s="103"/>
      <c r="AA35" s="104"/>
      <c r="AB35" s="104"/>
      <c r="AC35" s="104"/>
      <c r="AD35" s="94"/>
      <c r="AE35" s="94"/>
      <c r="AF35" s="95">
        <f>IF(AND(K35="電車・バス", AD35="●"), AA35*2, IF(OR(K35="電車・バス",K35= "タクシー"), AA35, 0))</f>
        <v>0</v>
      </c>
      <c r="AG35" s="95"/>
      <c r="AH35" s="95"/>
      <c r="AI35" s="95"/>
      <c r="AJ35" s="94"/>
      <c r="AK35" s="94"/>
      <c r="AL35" s="94"/>
      <c r="AT35" s="86"/>
      <c r="AU35" s="86"/>
      <c r="AV35" s="86"/>
      <c r="AW35" s="96"/>
      <c r="AX35" s="96"/>
      <c r="AY35" s="86"/>
      <c r="AZ35" s="86"/>
      <c r="BA35" s="87"/>
      <c r="BB35" s="88"/>
      <c r="BC35" s="88"/>
      <c r="BD35" s="88"/>
    </row>
    <row r="36" spans="1:56" ht="14.25" customHeight="1" x14ac:dyDescent="0.15">
      <c r="A36" s="97"/>
      <c r="B36" s="97"/>
      <c r="C36" s="97"/>
      <c r="D36" s="89" t="s">
        <v>29</v>
      </c>
      <c r="E36" s="89"/>
      <c r="F36" s="90"/>
      <c r="G36" s="90"/>
      <c r="H36" s="90"/>
      <c r="I36" s="90"/>
      <c r="J36" s="90"/>
      <c r="K36" s="94"/>
      <c r="L36" s="94"/>
      <c r="M36" s="94"/>
      <c r="N36" s="91" t="s">
        <v>31</v>
      </c>
      <c r="O36" s="91"/>
      <c r="P36" s="92"/>
      <c r="Q36" s="92"/>
      <c r="R36" s="92"/>
      <c r="S36" s="92"/>
      <c r="T36" s="92"/>
      <c r="U36" s="12" t="s">
        <v>25</v>
      </c>
      <c r="V36" s="93"/>
      <c r="W36" s="93"/>
      <c r="X36" s="93"/>
      <c r="Y36" s="93"/>
      <c r="Z36" s="93"/>
      <c r="AA36" s="104"/>
      <c r="AB36" s="104"/>
      <c r="AC36" s="104"/>
      <c r="AD36" s="94"/>
      <c r="AE36" s="94"/>
      <c r="AF36" s="95"/>
      <c r="AG36" s="95"/>
      <c r="AH36" s="95"/>
      <c r="AI36" s="95"/>
      <c r="AJ36" s="94"/>
      <c r="AK36" s="94"/>
      <c r="AL36" s="94"/>
      <c r="AT36" s="86"/>
      <c r="AU36" s="86"/>
      <c r="AV36" s="86"/>
      <c r="AW36" s="96"/>
      <c r="AX36" s="96"/>
      <c r="AY36" s="86"/>
      <c r="AZ36" s="86"/>
      <c r="BA36" s="87"/>
      <c r="BB36" s="88"/>
      <c r="BC36" s="88"/>
      <c r="BD36" s="88"/>
    </row>
    <row r="37" spans="1:56" ht="14.25" customHeight="1" x14ac:dyDescent="0.15">
      <c r="A37" s="97"/>
      <c r="B37" s="97"/>
      <c r="C37" s="97"/>
      <c r="D37" s="98" t="s">
        <v>20</v>
      </c>
      <c r="E37" s="98"/>
      <c r="F37" s="99"/>
      <c r="G37" s="99"/>
      <c r="H37" s="99"/>
      <c r="I37" s="99"/>
      <c r="J37" s="99"/>
      <c r="K37" s="94" t="s">
        <v>22</v>
      </c>
      <c r="L37" s="94"/>
      <c r="M37" s="94"/>
      <c r="N37" s="100" t="s">
        <v>23</v>
      </c>
      <c r="O37" s="100"/>
      <c r="P37" s="101"/>
      <c r="Q37" s="101"/>
      <c r="R37" s="101"/>
      <c r="S37" s="9" t="s">
        <v>25</v>
      </c>
      <c r="T37" s="102"/>
      <c r="U37" s="102"/>
      <c r="V37" s="102"/>
      <c r="W37" s="9" t="s">
        <v>25</v>
      </c>
      <c r="X37" s="103"/>
      <c r="Y37" s="103"/>
      <c r="Z37" s="103"/>
      <c r="AA37" s="104"/>
      <c r="AB37" s="104"/>
      <c r="AC37" s="104"/>
      <c r="AD37" s="94"/>
      <c r="AE37" s="94"/>
      <c r="AF37" s="95">
        <f>IF(AND(K37="電車・バス", AD37="●"), AA37*2, IF(OR(K37="電車・バス",K37= "タクシー"), AA37, 0))</f>
        <v>0</v>
      </c>
      <c r="AG37" s="95"/>
      <c r="AH37" s="95"/>
      <c r="AI37" s="95"/>
      <c r="AJ37" s="94"/>
      <c r="AK37" s="94"/>
      <c r="AL37" s="94"/>
      <c r="AT37" s="86"/>
      <c r="AU37" s="86"/>
      <c r="AV37" s="86"/>
      <c r="AW37" s="96"/>
      <c r="AX37" s="96"/>
      <c r="AY37" s="86"/>
      <c r="AZ37" s="86"/>
      <c r="BA37" s="87"/>
      <c r="BB37" s="88"/>
      <c r="BC37" s="88"/>
      <c r="BD37" s="88"/>
    </row>
    <row r="38" spans="1:56" ht="14.25" customHeight="1" x14ac:dyDescent="0.15">
      <c r="A38" s="97"/>
      <c r="B38" s="97"/>
      <c r="C38" s="97"/>
      <c r="D38" s="89" t="s">
        <v>29</v>
      </c>
      <c r="E38" s="89"/>
      <c r="F38" s="90"/>
      <c r="G38" s="90"/>
      <c r="H38" s="90"/>
      <c r="I38" s="90"/>
      <c r="J38" s="90"/>
      <c r="K38" s="94"/>
      <c r="L38" s="94"/>
      <c r="M38" s="94"/>
      <c r="N38" s="91" t="s">
        <v>31</v>
      </c>
      <c r="O38" s="91"/>
      <c r="P38" s="92"/>
      <c r="Q38" s="92"/>
      <c r="R38" s="92"/>
      <c r="S38" s="92"/>
      <c r="T38" s="92"/>
      <c r="U38" s="12" t="s">
        <v>25</v>
      </c>
      <c r="V38" s="93"/>
      <c r="W38" s="93"/>
      <c r="X38" s="93"/>
      <c r="Y38" s="93"/>
      <c r="Z38" s="93"/>
      <c r="AA38" s="104"/>
      <c r="AB38" s="104"/>
      <c r="AC38" s="104"/>
      <c r="AD38" s="94"/>
      <c r="AE38" s="94"/>
      <c r="AF38" s="95"/>
      <c r="AG38" s="95"/>
      <c r="AH38" s="95"/>
      <c r="AI38" s="95"/>
      <c r="AJ38" s="94"/>
      <c r="AK38" s="94"/>
      <c r="AL38" s="94"/>
      <c r="AT38" s="86"/>
      <c r="AU38" s="86"/>
      <c r="AV38" s="86"/>
      <c r="AW38" s="96"/>
      <c r="AX38" s="96"/>
      <c r="AY38" s="86"/>
      <c r="AZ38" s="86"/>
      <c r="BA38" s="87"/>
      <c r="BB38" s="88"/>
      <c r="BC38" s="88"/>
      <c r="BD38" s="88"/>
    </row>
    <row r="39" spans="1:56" ht="14.25" customHeight="1" x14ac:dyDescent="0.15">
      <c r="A39" s="97"/>
      <c r="B39" s="97"/>
      <c r="C39" s="97"/>
      <c r="D39" s="98" t="s">
        <v>20</v>
      </c>
      <c r="E39" s="98"/>
      <c r="F39" s="99"/>
      <c r="G39" s="99"/>
      <c r="H39" s="99"/>
      <c r="I39" s="99"/>
      <c r="J39" s="99"/>
      <c r="K39" s="94" t="s">
        <v>22</v>
      </c>
      <c r="L39" s="94"/>
      <c r="M39" s="94"/>
      <c r="N39" s="100" t="s">
        <v>23</v>
      </c>
      <c r="O39" s="100"/>
      <c r="P39" s="101"/>
      <c r="Q39" s="101"/>
      <c r="R39" s="101"/>
      <c r="S39" s="9" t="s">
        <v>25</v>
      </c>
      <c r="T39" s="102"/>
      <c r="U39" s="102"/>
      <c r="V39" s="102"/>
      <c r="W39" s="9" t="s">
        <v>25</v>
      </c>
      <c r="X39" s="103"/>
      <c r="Y39" s="103"/>
      <c r="Z39" s="103"/>
      <c r="AA39" s="104"/>
      <c r="AB39" s="104"/>
      <c r="AC39" s="104"/>
      <c r="AD39" s="94"/>
      <c r="AE39" s="94"/>
      <c r="AF39" s="95">
        <f>IF(AND(K39="電車・バス", AD39="●"), AA39*2, IF(OR(K39="電車・バス",K39= "タクシー"), AA39, 0))</f>
        <v>0</v>
      </c>
      <c r="AG39" s="95"/>
      <c r="AH39" s="95"/>
      <c r="AI39" s="95"/>
      <c r="AJ39" s="94"/>
      <c r="AK39" s="94"/>
      <c r="AL39" s="94"/>
      <c r="AT39" s="86"/>
      <c r="AU39" s="86"/>
      <c r="AV39" s="86"/>
      <c r="AW39" s="96"/>
      <c r="AX39" s="96"/>
      <c r="AY39" s="86"/>
      <c r="AZ39" s="86"/>
      <c r="BA39" s="87"/>
      <c r="BB39" s="88"/>
      <c r="BC39" s="88"/>
      <c r="BD39" s="88"/>
    </row>
    <row r="40" spans="1:56" ht="14.25" customHeight="1" x14ac:dyDescent="0.15">
      <c r="A40" s="97"/>
      <c r="B40" s="97"/>
      <c r="C40" s="97"/>
      <c r="D40" s="89" t="s">
        <v>29</v>
      </c>
      <c r="E40" s="89"/>
      <c r="F40" s="90"/>
      <c r="G40" s="90"/>
      <c r="H40" s="90"/>
      <c r="I40" s="90"/>
      <c r="J40" s="90"/>
      <c r="K40" s="94"/>
      <c r="L40" s="94"/>
      <c r="M40" s="94"/>
      <c r="N40" s="91" t="s">
        <v>31</v>
      </c>
      <c r="O40" s="91"/>
      <c r="P40" s="92"/>
      <c r="Q40" s="92"/>
      <c r="R40" s="92"/>
      <c r="S40" s="92"/>
      <c r="T40" s="92"/>
      <c r="U40" s="12" t="s">
        <v>25</v>
      </c>
      <c r="V40" s="93"/>
      <c r="W40" s="93"/>
      <c r="X40" s="93"/>
      <c r="Y40" s="93"/>
      <c r="Z40" s="93"/>
      <c r="AA40" s="104"/>
      <c r="AB40" s="104"/>
      <c r="AC40" s="104"/>
      <c r="AD40" s="94"/>
      <c r="AE40" s="94"/>
      <c r="AF40" s="95"/>
      <c r="AG40" s="95"/>
      <c r="AH40" s="95"/>
      <c r="AI40" s="95"/>
      <c r="AJ40" s="94"/>
      <c r="AK40" s="94"/>
      <c r="AL40" s="94"/>
      <c r="AT40" s="86"/>
      <c r="AU40" s="86"/>
      <c r="AV40" s="86"/>
      <c r="AW40" s="96"/>
      <c r="AX40" s="96"/>
      <c r="AY40" s="86"/>
      <c r="AZ40" s="86"/>
      <c r="BA40" s="87"/>
      <c r="BB40" s="88"/>
      <c r="BC40" s="88"/>
      <c r="BD40" s="88"/>
    </row>
    <row r="41" spans="1:56" ht="14.25" customHeight="1" x14ac:dyDescent="0.15">
      <c r="A41" s="97"/>
      <c r="B41" s="97"/>
      <c r="C41" s="97"/>
      <c r="D41" s="98" t="s">
        <v>20</v>
      </c>
      <c r="E41" s="98"/>
      <c r="F41" s="99"/>
      <c r="G41" s="99"/>
      <c r="H41" s="99"/>
      <c r="I41" s="99"/>
      <c r="J41" s="99"/>
      <c r="K41" s="94" t="s">
        <v>22</v>
      </c>
      <c r="L41" s="94"/>
      <c r="M41" s="94"/>
      <c r="N41" s="100" t="s">
        <v>23</v>
      </c>
      <c r="O41" s="100"/>
      <c r="P41" s="101"/>
      <c r="Q41" s="101"/>
      <c r="R41" s="101"/>
      <c r="S41" s="9" t="s">
        <v>25</v>
      </c>
      <c r="T41" s="102"/>
      <c r="U41" s="102"/>
      <c r="V41" s="102"/>
      <c r="W41" s="9" t="s">
        <v>25</v>
      </c>
      <c r="X41" s="103"/>
      <c r="Y41" s="103"/>
      <c r="Z41" s="103"/>
      <c r="AA41" s="104"/>
      <c r="AB41" s="104"/>
      <c r="AC41" s="104"/>
      <c r="AD41" s="94"/>
      <c r="AE41" s="94"/>
      <c r="AF41" s="95">
        <f>IF(AND(K41="電車・バス", AD41="●"), AA41*2, IF(OR(K41="電車・バス",K41= "タクシー"), AA41, 0))</f>
        <v>0</v>
      </c>
      <c r="AG41" s="95"/>
      <c r="AH41" s="95"/>
      <c r="AI41" s="95"/>
      <c r="AJ41" s="94"/>
      <c r="AK41" s="94"/>
      <c r="AL41" s="94"/>
      <c r="AT41" s="86"/>
      <c r="AU41" s="86"/>
      <c r="AV41" s="86"/>
      <c r="AW41" s="96"/>
      <c r="AX41" s="96"/>
      <c r="AY41" s="86"/>
      <c r="AZ41" s="86"/>
      <c r="BA41" s="87"/>
      <c r="BB41" s="88"/>
      <c r="BC41" s="88"/>
      <c r="BD41" s="88"/>
    </row>
    <row r="42" spans="1:56" ht="14.25" customHeight="1" x14ac:dyDescent="0.15">
      <c r="A42" s="97"/>
      <c r="B42" s="97"/>
      <c r="C42" s="97"/>
      <c r="D42" s="89" t="s">
        <v>29</v>
      </c>
      <c r="E42" s="89"/>
      <c r="F42" s="90"/>
      <c r="G42" s="90"/>
      <c r="H42" s="90"/>
      <c r="I42" s="90"/>
      <c r="J42" s="90"/>
      <c r="K42" s="94"/>
      <c r="L42" s="94"/>
      <c r="M42" s="94"/>
      <c r="N42" s="91" t="s">
        <v>31</v>
      </c>
      <c r="O42" s="91"/>
      <c r="P42" s="92"/>
      <c r="Q42" s="92"/>
      <c r="R42" s="92"/>
      <c r="S42" s="92"/>
      <c r="T42" s="92"/>
      <c r="U42" s="12" t="s">
        <v>25</v>
      </c>
      <c r="V42" s="93"/>
      <c r="W42" s="93"/>
      <c r="X42" s="93"/>
      <c r="Y42" s="93"/>
      <c r="Z42" s="93"/>
      <c r="AA42" s="104"/>
      <c r="AB42" s="104"/>
      <c r="AC42" s="104"/>
      <c r="AD42" s="94"/>
      <c r="AE42" s="94"/>
      <c r="AF42" s="95"/>
      <c r="AG42" s="95"/>
      <c r="AH42" s="95"/>
      <c r="AI42" s="95"/>
      <c r="AJ42" s="94"/>
      <c r="AK42" s="94"/>
      <c r="AL42" s="94"/>
      <c r="AT42" s="86"/>
      <c r="AU42" s="86"/>
      <c r="AV42" s="86"/>
      <c r="AW42" s="96"/>
      <c r="AX42" s="96"/>
      <c r="AY42" s="86"/>
      <c r="AZ42" s="86"/>
      <c r="BA42" s="87"/>
      <c r="BB42" s="88"/>
      <c r="BC42" s="88"/>
      <c r="BD42" s="88"/>
    </row>
    <row r="43" spans="1:56" ht="14.25" customHeight="1" x14ac:dyDescent="0.15">
      <c r="A43" s="97"/>
      <c r="B43" s="97"/>
      <c r="C43" s="97"/>
      <c r="D43" s="98" t="s">
        <v>20</v>
      </c>
      <c r="E43" s="98"/>
      <c r="F43" s="99"/>
      <c r="G43" s="99"/>
      <c r="H43" s="99"/>
      <c r="I43" s="99"/>
      <c r="J43" s="99"/>
      <c r="K43" s="94" t="s">
        <v>22</v>
      </c>
      <c r="L43" s="94"/>
      <c r="M43" s="94"/>
      <c r="N43" s="100" t="s">
        <v>23</v>
      </c>
      <c r="O43" s="100"/>
      <c r="P43" s="101"/>
      <c r="Q43" s="101"/>
      <c r="R43" s="101"/>
      <c r="S43" s="9" t="s">
        <v>25</v>
      </c>
      <c r="T43" s="102"/>
      <c r="U43" s="102"/>
      <c r="V43" s="102"/>
      <c r="W43" s="9" t="s">
        <v>25</v>
      </c>
      <c r="X43" s="103"/>
      <c r="Y43" s="103"/>
      <c r="Z43" s="103"/>
      <c r="AA43" s="104"/>
      <c r="AB43" s="104"/>
      <c r="AC43" s="104"/>
      <c r="AD43" s="94"/>
      <c r="AE43" s="94"/>
      <c r="AF43" s="95">
        <f>IF(AND(K43="電車・バス", AD43="●"), AA43*2, IF(OR(K43="電車・バス",K43= "タクシー"), AA43, 0))</f>
        <v>0</v>
      </c>
      <c r="AG43" s="95"/>
      <c r="AH43" s="95"/>
      <c r="AI43" s="95"/>
      <c r="AJ43" s="94"/>
      <c r="AK43" s="94"/>
      <c r="AL43" s="94"/>
      <c r="AT43" s="86"/>
      <c r="AU43" s="86"/>
      <c r="AV43" s="86"/>
      <c r="AW43" s="96"/>
      <c r="AX43" s="96"/>
      <c r="AY43" s="86"/>
      <c r="AZ43" s="86"/>
      <c r="BA43" s="87"/>
      <c r="BB43" s="88"/>
      <c r="BC43" s="88"/>
      <c r="BD43" s="88"/>
    </row>
    <row r="44" spans="1:56" ht="14.25" customHeight="1" x14ac:dyDescent="0.15">
      <c r="A44" s="97"/>
      <c r="B44" s="97"/>
      <c r="C44" s="97"/>
      <c r="D44" s="89" t="s">
        <v>29</v>
      </c>
      <c r="E44" s="89"/>
      <c r="F44" s="90"/>
      <c r="G44" s="90"/>
      <c r="H44" s="90"/>
      <c r="I44" s="90"/>
      <c r="J44" s="90"/>
      <c r="K44" s="94"/>
      <c r="L44" s="94"/>
      <c r="M44" s="94"/>
      <c r="N44" s="91" t="s">
        <v>31</v>
      </c>
      <c r="O44" s="91"/>
      <c r="P44" s="92"/>
      <c r="Q44" s="92"/>
      <c r="R44" s="92"/>
      <c r="S44" s="92"/>
      <c r="T44" s="92"/>
      <c r="U44" s="12" t="s">
        <v>25</v>
      </c>
      <c r="V44" s="93"/>
      <c r="W44" s="93"/>
      <c r="X44" s="93"/>
      <c r="Y44" s="93"/>
      <c r="Z44" s="93"/>
      <c r="AA44" s="104"/>
      <c r="AB44" s="104"/>
      <c r="AC44" s="104"/>
      <c r="AD44" s="94"/>
      <c r="AE44" s="94"/>
      <c r="AF44" s="95"/>
      <c r="AG44" s="95"/>
      <c r="AH44" s="95"/>
      <c r="AI44" s="95"/>
      <c r="AJ44" s="94"/>
      <c r="AK44" s="94"/>
      <c r="AL44" s="94"/>
      <c r="AT44" s="86"/>
      <c r="AU44" s="86"/>
      <c r="AV44" s="86"/>
      <c r="AW44" s="96"/>
      <c r="AX44" s="96"/>
      <c r="AY44" s="86"/>
      <c r="AZ44" s="86"/>
      <c r="BA44" s="87"/>
      <c r="BB44" s="88"/>
      <c r="BC44" s="88"/>
      <c r="BD44" s="88"/>
    </row>
    <row r="45" spans="1:56" ht="18.75" customHeight="1" x14ac:dyDescent="0.15">
      <c r="A45" s="13"/>
      <c r="B45" s="13"/>
      <c r="C45" s="13"/>
      <c r="D45" s="14"/>
      <c r="E45" s="15"/>
      <c r="F45" s="15"/>
      <c r="G45" s="15"/>
      <c r="H45" s="15"/>
      <c r="N45" s="14"/>
      <c r="O45" s="15"/>
      <c r="AU45" s="11"/>
    </row>
    <row r="46" spans="1:56" s="4" customFormat="1" ht="12" customHeight="1" x14ac:dyDescent="0.15">
      <c r="A46" s="77" t="s">
        <v>14</v>
      </c>
      <c r="B46" s="77"/>
      <c r="C46" s="77"/>
      <c r="D46" s="77"/>
      <c r="E46" s="77"/>
      <c r="F46" s="78" t="s">
        <v>35</v>
      </c>
      <c r="G46" s="78"/>
      <c r="H46" s="78"/>
      <c r="I46" s="78"/>
      <c r="J46" s="78"/>
      <c r="K46" s="78"/>
      <c r="L46" s="78"/>
      <c r="M46" s="78"/>
      <c r="N46" s="78"/>
      <c r="O46" s="78"/>
      <c r="P46" s="78"/>
      <c r="Q46" s="78"/>
      <c r="R46" s="78"/>
      <c r="S46" s="79" t="s">
        <v>18</v>
      </c>
      <c r="T46" s="79"/>
      <c r="U46" s="79"/>
      <c r="V46" s="79"/>
      <c r="W46" s="16"/>
      <c r="X46" s="17"/>
      <c r="Y46" s="17"/>
      <c r="Z46" s="18"/>
      <c r="AA46" s="80" t="s">
        <v>36</v>
      </c>
      <c r="AB46" s="80"/>
      <c r="AC46" s="80"/>
      <c r="AD46" s="80"/>
      <c r="AE46" s="80"/>
      <c r="AF46" s="80"/>
      <c r="AG46" s="80"/>
      <c r="AH46" s="80"/>
      <c r="AI46" s="80"/>
      <c r="AJ46" s="80"/>
      <c r="AK46" s="80"/>
      <c r="AL46" s="80"/>
    </row>
    <row r="47" spans="1:56" s="4" customFormat="1" x14ac:dyDescent="0.15">
      <c r="A47" s="81" t="s">
        <v>22</v>
      </c>
      <c r="B47" s="81"/>
      <c r="C47" s="81"/>
      <c r="D47" s="81"/>
      <c r="E47" s="81"/>
      <c r="F47" s="19" t="s">
        <v>37</v>
      </c>
      <c r="G47" s="20"/>
      <c r="H47" s="20"/>
      <c r="I47" s="20"/>
      <c r="J47" s="20"/>
      <c r="K47" s="20" t="s">
        <v>38</v>
      </c>
      <c r="L47" s="20" t="s">
        <v>39</v>
      </c>
      <c r="M47" s="21"/>
      <c r="N47" s="21"/>
      <c r="O47" s="21"/>
      <c r="P47" s="21"/>
      <c r="Q47" s="21"/>
      <c r="R47" s="22"/>
      <c r="S47" s="82">
        <f>SUMIF(K9:M44,A47,AF9:AI44)-W47</f>
        <v>4380</v>
      </c>
      <c r="T47" s="82"/>
      <c r="U47" s="82"/>
      <c r="V47" s="82"/>
      <c r="W47" s="23">
        <f t="array" ref="W47">SUM(IF((F9:F44="接待関連")*(K9:K44=A47),AF9:AF44,""))</f>
        <v>0</v>
      </c>
      <c r="X47" s="24"/>
      <c r="Y47" s="24"/>
      <c r="Z47" s="25"/>
      <c r="AA47" s="83">
        <f>SUM(AF9:AI44)</f>
        <v>4380</v>
      </c>
      <c r="AB47" s="83"/>
      <c r="AC47" s="83"/>
      <c r="AD47" s="83"/>
      <c r="AE47" s="83"/>
      <c r="AF47" s="83"/>
      <c r="AG47" s="83"/>
      <c r="AH47" s="83"/>
      <c r="AI47" s="83"/>
      <c r="AJ47" s="83"/>
      <c r="AK47" s="83"/>
      <c r="AL47" s="83"/>
    </row>
    <row r="48" spans="1:56" s="4" customFormat="1" x14ac:dyDescent="0.15">
      <c r="A48" s="84" t="s">
        <v>40</v>
      </c>
      <c r="B48" s="84"/>
      <c r="C48" s="84"/>
      <c r="D48" s="84"/>
      <c r="E48" s="84"/>
      <c r="F48" s="26" t="s">
        <v>37</v>
      </c>
      <c r="G48" s="27"/>
      <c r="H48" s="27"/>
      <c r="I48" s="27"/>
      <c r="J48" s="27"/>
      <c r="K48" s="27"/>
      <c r="L48" s="27" t="s">
        <v>41</v>
      </c>
      <c r="M48" s="28"/>
      <c r="N48" s="28"/>
      <c r="O48" s="28"/>
      <c r="P48" s="28"/>
      <c r="Q48" s="28"/>
      <c r="R48" s="29"/>
      <c r="S48" s="85">
        <f>SUMIF(K9:M44,A48,AF9:AI44)-W48</f>
        <v>0</v>
      </c>
      <c r="T48" s="85"/>
      <c r="U48" s="85"/>
      <c r="V48" s="85"/>
      <c r="W48" s="23">
        <f t="array" ref="W48">SUM(IF((F9:F44="接待関連")*(K9:K44=A48),AF9:AF44,""))</f>
        <v>0</v>
      </c>
      <c r="X48" s="24"/>
      <c r="Y48" s="24"/>
      <c r="Z48" s="25"/>
      <c r="AA48" s="83"/>
      <c r="AB48" s="83"/>
      <c r="AC48" s="83"/>
      <c r="AD48" s="83"/>
      <c r="AE48" s="83"/>
      <c r="AF48" s="83"/>
      <c r="AG48" s="83"/>
      <c r="AH48" s="83"/>
      <c r="AI48" s="83"/>
      <c r="AJ48" s="83"/>
      <c r="AK48" s="83"/>
      <c r="AL48" s="83"/>
    </row>
    <row r="49" spans="1:38" s="4" customFormat="1" x14ac:dyDescent="0.15">
      <c r="A49" s="70" t="s">
        <v>42</v>
      </c>
      <c r="B49" s="70"/>
      <c r="C49" s="70"/>
      <c r="D49" s="70"/>
      <c r="E49" s="70"/>
      <c r="F49" s="30" t="s">
        <v>43</v>
      </c>
      <c r="G49" s="31"/>
      <c r="H49" s="31"/>
      <c r="I49" s="31"/>
      <c r="J49" s="31"/>
      <c r="K49" s="31"/>
      <c r="L49" s="31" t="s">
        <v>44</v>
      </c>
      <c r="M49" s="32"/>
      <c r="N49" s="32"/>
      <c r="O49" s="32"/>
      <c r="P49" s="32"/>
      <c r="Q49" s="32"/>
      <c r="R49" s="33"/>
      <c r="S49" s="71">
        <f>SUMIF(F9:H44,"接待関連",AF9:AI44)</f>
        <v>0</v>
      </c>
      <c r="T49" s="71"/>
      <c r="U49" s="71"/>
      <c r="V49" s="71"/>
      <c r="W49" s="34"/>
      <c r="X49" s="34"/>
      <c r="Y49" s="34"/>
      <c r="Z49" s="34"/>
      <c r="AA49" s="35"/>
      <c r="AB49" s="35"/>
      <c r="AC49" s="35"/>
      <c r="AD49" s="35"/>
      <c r="AE49" s="35"/>
      <c r="AF49" s="35"/>
      <c r="AG49" s="35"/>
      <c r="AH49" s="35"/>
      <c r="AI49" s="35"/>
      <c r="AJ49" s="35"/>
      <c r="AK49" s="35"/>
      <c r="AL49" s="35"/>
    </row>
    <row r="50" spans="1:38" s="4" customFormat="1" ht="12" x14ac:dyDescent="0.15">
      <c r="A50" s="36"/>
      <c r="B50" s="36"/>
      <c r="C50" s="72"/>
      <c r="D50" s="72"/>
      <c r="E50" s="72"/>
      <c r="F50" s="72"/>
      <c r="G50" s="72"/>
      <c r="H50" s="72"/>
      <c r="I50" s="72"/>
      <c r="J50" s="72"/>
      <c r="K50" s="72"/>
      <c r="L50" s="38"/>
      <c r="M50" s="72"/>
      <c r="N50" s="72"/>
      <c r="O50" s="72"/>
      <c r="P50" s="72"/>
      <c r="Q50" s="72"/>
      <c r="R50" s="72"/>
      <c r="S50" s="72"/>
      <c r="T50" s="72"/>
      <c r="U50" s="38"/>
      <c r="V50" s="38"/>
      <c r="W50" s="38"/>
      <c r="X50" s="38"/>
      <c r="Y50" s="38"/>
      <c r="Z50" s="38"/>
      <c r="AA50" s="39"/>
      <c r="AB50" s="39"/>
      <c r="AC50" s="39"/>
      <c r="AD50" s="39"/>
      <c r="AE50" s="39"/>
      <c r="AF50" s="39"/>
      <c r="AG50" s="39"/>
      <c r="AH50" s="39"/>
      <c r="AI50" s="39"/>
      <c r="AJ50" s="37"/>
      <c r="AK50" s="37"/>
      <c r="AL50" s="37"/>
    </row>
    <row r="51" spans="1:38" ht="7.5" customHeight="1" x14ac:dyDescent="0.15"/>
    <row r="52" spans="1:38" s="4" customFormat="1" ht="12" x14ac:dyDescent="0.15">
      <c r="A52" s="73" t="s">
        <v>35</v>
      </c>
      <c r="B52" s="73"/>
      <c r="C52" s="40"/>
      <c r="D52" s="41" t="s">
        <v>45</v>
      </c>
      <c r="E52" s="42"/>
      <c r="F52" s="42"/>
      <c r="G52" s="42"/>
      <c r="H52" s="42"/>
      <c r="I52" s="42"/>
      <c r="J52" s="42"/>
      <c r="K52" s="42"/>
      <c r="L52" s="42"/>
      <c r="M52" s="41"/>
      <c r="N52" s="41"/>
      <c r="O52" s="42"/>
      <c r="P52" s="41" t="s">
        <v>46</v>
      </c>
      <c r="Q52" s="42"/>
      <c r="R52" s="42"/>
      <c r="S52" s="42"/>
      <c r="T52" s="42"/>
      <c r="U52" s="42"/>
      <c r="V52" s="41"/>
      <c r="W52" s="41"/>
      <c r="X52" s="41"/>
      <c r="Y52" s="41"/>
      <c r="Z52" s="41"/>
      <c r="AA52" s="41" t="s">
        <v>47</v>
      </c>
      <c r="AB52" s="42"/>
      <c r="AC52" s="42"/>
      <c r="AD52" s="42"/>
      <c r="AE52" s="42"/>
      <c r="AF52" s="42"/>
      <c r="AG52" s="42"/>
      <c r="AH52" s="41"/>
      <c r="AI52" s="41"/>
      <c r="AJ52" s="41"/>
      <c r="AK52" s="43"/>
      <c r="AL52" s="44"/>
    </row>
    <row r="53" spans="1:38" s="4" customFormat="1" ht="12" x14ac:dyDescent="0.15">
      <c r="A53" s="73"/>
      <c r="B53" s="73"/>
      <c r="D53" s="67" t="s">
        <v>48</v>
      </c>
      <c r="E53" s="67"/>
      <c r="F53" s="67"/>
      <c r="G53" s="67"/>
      <c r="H53" s="67"/>
      <c r="I53" s="67"/>
      <c r="J53" s="67"/>
      <c r="K53" s="67"/>
      <c r="L53" s="67"/>
      <c r="M53" s="5"/>
      <c r="N53" s="5"/>
      <c r="O53" s="5"/>
      <c r="P53" s="67" t="s">
        <v>48</v>
      </c>
      <c r="Q53" s="67"/>
      <c r="R53" s="67"/>
      <c r="S53" s="67"/>
      <c r="T53" s="67"/>
      <c r="U53" s="67"/>
      <c r="V53" s="67"/>
      <c r="W53" s="67"/>
      <c r="X53" s="67"/>
      <c r="Y53" s="5"/>
      <c r="Z53" s="5"/>
      <c r="AA53" s="67" t="s">
        <v>48</v>
      </c>
      <c r="AB53" s="67"/>
      <c r="AC53" s="67"/>
      <c r="AD53" s="67"/>
      <c r="AE53" s="67"/>
      <c r="AF53" s="67"/>
      <c r="AG53" s="67"/>
      <c r="AH53" s="67"/>
      <c r="AI53" s="67"/>
      <c r="AK53" s="45"/>
      <c r="AL53" s="46"/>
    </row>
    <row r="54" spans="1:38" s="4" customFormat="1" ht="12" x14ac:dyDescent="0.15">
      <c r="A54" s="73"/>
      <c r="B54" s="73"/>
      <c r="D54" s="67"/>
      <c r="E54" s="67"/>
      <c r="F54" s="67"/>
      <c r="G54" s="67"/>
      <c r="H54" s="67"/>
      <c r="I54" s="67"/>
      <c r="J54" s="67"/>
      <c r="K54" s="67"/>
      <c r="L54" s="67"/>
      <c r="M54" s="5"/>
      <c r="N54" s="5"/>
      <c r="O54" s="5"/>
      <c r="P54" s="67"/>
      <c r="Q54" s="67"/>
      <c r="R54" s="67"/>
      <c r="S54" s="67"/>
      <c r="T54" s="67"/>
      <c r="U54" s="67"/>
      <c r="V54" s="67"/>
      <c r="W54" s="67"/>
      <c r="X54" s="67"/>
      <c r="Y54" s="5"/>
      <c r="Z54" s="5"/>
      <c r="AA54" s="67"/>
      <c r="AB54" s="67"/>
      <c r="AC54" s="67"/>
      <c r="AD54" s="67"/>
      <c r="AE54" s="67"/>
      <c r="AF54" s="67"/>
      <c r="AG54" s="67"/>
      <c r="AH54" s="67"/>
      <c r="AI54" s="67"/>
      <c r="AK54" s="47"/>
      <c r="AL54" s="48"/>
    </row>
    <row r="55" spans="1:38" s="4" customFormat="1" ht="12" x14ac:dyDescent="0.15">
      <c r="A55" s="73"/>
      <c r="B55" s="73"/>
      <c r="D55" s="68" t="s">
        <v>45</v>
      </c>
      <c r="E55" s="68"/>
      <c r="F55" s="68"/>
      <c r="G55" s="68" t="s">
        <v>3</v>
      </c>
      <c r="H55" s="68"/>
      <c r="I55" s="68"/>
      <c r="J55" s="68" t="s">
        <v>49</v>
      </c>
      <c r="K55" s="68"/>
      <c r="L55" s="68"/>
      <c r="M55" s="5"/>
      <c r="N55" s="5"/>
      <c r="O55" s="5"/>
      <c r="P55" s="68" t="s">
        <v>50</v>
      </c>
      <c r="Q55" s="68"/>
      <c r="R55" s="68"/>
      <c r="S55" s="68" t="s">
        <v>49</v>
      </c>
      <c r="T55" s="68"/>
      <c r="U55" s="68"/>
      <c r="V55" s="5"/>
      <c r="W55" s="5"/>
      <c r="X55" s="5"/>
      <c r="Y55" s="5"/>
      <c r="Z55" s="5"/>
      <c r="AA55" s="68" t="s">
        <v>51</v>
      </c>
      <c r="AB55" s="68"/>
      <c r="AC55" s="68"/>
      <c r="AD55" s="68" t="s">
        <v>52</v>
      </c>
      <c r="AE55" s="68"/>
      <c r="AF55" s="68"/>
      <c r="AG55" s="68"/>
      <c r="AH55" s="68"/>
      <c r="AI55" s="68"/>
      <c r="AJ55" s="68"/>
      <c r="AK55" s="68"/>
      <c r="AL55" s="68"/>
    </row>
    <row r="56" spans="1:38" s="4" customFormat="1" ht="12" x14ac:dyDescent="0.15">
      <c r="A56" s="73"/>
      <c r="B56" s="73"/>
      <c r="D56" s="68"/>
      <c r="E56" s="68"/>
      <c r="F56" s="68"/>
      <c r="G56" s="68"/>
      <c r="H56" s="68"/>
      <c r="I56" s="68"/>
      <c r="J56" s="68"/>
      <c r="K56" s="68"/>
      <c r="L56" s="68"/>
      <c r="M56" s="5"/>
      <c r="N56" s="5"/>
      <c r="O56" s="5"/>
      <c r="P56" s="68"/>
      <c r="Q56" s="68"/>
      <c r="R56" s="68"/>
      <c r="S56" s="68"/>
      <c r="T56" s="68"/>
      <c r="U56" s="68"/>
      <c r="V56" s="45"/>
      <c r="W56" s="45"/>
      <c r="X56" s="45"/>
      <c r="Y56" s="45"/>
      <c r="Z56" s="45"/>
      <c r="AA56" s="69"/>
      <c r="AB56" s="69"/>
      <c r="AC56" s="69"/>
      <c r="AD56" s="49"/>
      <c r="AE56" s="43"/>
      <c r="AF56" s="43"/>
      <c r="AG56" s="43"/>
      <c r="AH56" s="43"/>
      <c r="AI56" s="43"/>
      <c r="AJ56" s="43"/>
      <c r="AK56" s="43"/>
      <c r="AL56" s="44"/>
    </row>
    <row r="57" spans="1:38" s="4" customFormat="1" ht="12" x14ac:dyDescent="0.15">
      <c r="A57" s="73"/>
      <c r="B57" s="73"/>
      <c r="D57" s="68"/>
      <c r="E57" s="68"/>
      <c r="F57" s="68"/>
      <c r="G57" s="68"/>
      <c r="H57" s="68"/>
      <c r="I57" s="68"/>
      <c r="J57" s="68"/>
      <c r="K57" s="68"/>
      <c r="L57" s="68"/>
      <c r="M57" s="5"/>
      <c r="N57" s="5"/>
      <c r="O57" s="5"/>
      <c r="P57" s="68"/>
      <c r="Q57" s="68"/>
      <c r="R57" s="68"/>
      <c r="S57" s="68"/>
      <c r="T57" s="68"/>
      <c r="U57" s="68"/>
      <c r="V57" s="45"/>
      <c r="W57" s="45"/>
      <c r="X57" s="45"/>
      <c r="Y57" s="45"/>
      <c r="Z57" s="45"/>
      <c r="AA57" s="69"/>
      <c r="AB57" s="69"/>
      <c r="AC57" s="69"/>
      <c r="AD57" s="50"/>
      <c r="AE57" s="45"/>
      <c r="AF57" s="45"/>
      <c r="AG57" s="45"/>
      <c r="AH57" s="45"/>
      <c r="AI57" s="45"/>
      <c r="AJ57" s="45"/>
      <c r="AK57" s="45"/>
      <c r="AL57" s="46"/>
    </row>
    <row r="58" spans="1:38" s="4" customFormat="1" ht="13.5" customHeight="1" x14ac:dyDescent="0.15">
      <c r="A58" s="73"/>
      <c r="B58" s="73"/>
      <c r="D58" s="68"/>
      <c r="E58" s="68"/>
      <c r="F58" s="68"/>
      <c r="G58" s="68"/>
      <c r="H58" s="68"/>
      <c r="I58" s="68"/>
      <c r="J58" s="68"/>
      <c r="K58" s="68"/>
      <c r="L58" s="68"/>
      <c r="M58" s="5"/>
      <c r="N58" s="5"/>
      <c r="O58" s="5"/>
      <c r="P58" s="68"/>
      <c r="Q58" s="68"/>
      <c r="R58" s="68"/>
      <c r="S58" s="68"/>
      <c r="T58" s="68"/>
      <c r="U58" s="68"/>
      <c r="V58" s="45"/>
      <c r="W58" s="45"/>
      <c r="X58" s="45"/>
      <c r="Y58" s="45"/>
      <c r="Z58" s="45"/>
      <c r="AA58" s="69"/>
      <c r="AB58" s="69"/>
      <c r="AC58" s="69"/>
      <c r="AD58" s="51"/>
      <c r="AE58" s="47"/>
      <c r="AF58" s="47"/>
      <c r="AG58" s="47"/>
      <c r="AH58" s="47"/>
      <c r="AI58" s="47"/>
      <c r="AJ58" s="47"/>
      <c r="AK58" s="47"/>
      <c r="AL58" s="48"/>
    </row>
    <row r="59" spans="1:38" s="4" customFormat="1" ht="12" x14ac:dyDescent="0.15">
      <c r="A59" s="73"/>
      <c r="B59" s="73"/>
      <c r="C59" s="47"/>
      <c r="D59" s="47"/>
      <c r="E59" s="47"/>
      <c r="F59" s="47"/>
      <c r="G59" s="47"/>
      <c r="H59" s="47"/>
      <c r="I59" s="47"/>
      <c r="J59" s="47"/>
      <c r="K59" s="47"/>
      <c r="L59" s="47"/>
      <c r="M59" s="47"/>
      <c r="N59" s="47"/>
      <c r="O59" s="47"/>
      <c r="P59" s="47"/>
      <c r="Q59" s="47"/>
      <c r="R59" s="47"/>
      <c r="S59" s="47"/>
      <c r="T59" s="47"/>
      <c r="U59" s="47"/>
      <c r="V59" s="47"/>
      <c r="W59" s="47"/>
      <c r="X59" s="47"/>
      <c r="Y59" s="47"/>
      <c r="Z59" s="47"/>
      <c r="AA59" s="52"/>
      <c r="AB59" s="52"/>
      <c r="AC59" s="52"/>
      <c r="AD59" s="52"/>
      <c r="AE59" s="52"/>
      <c r="AF59" s="52"/>
      <c r="AG59" s="38"/>
      <c r="AH59" s="38"/>
      <c r="AI59" s="38"/>
      <c r="AJ59" s="38"/>
      <c r="AK59" s="38"/>
      <c r="AL59" s="53"/>
    </row>
    <row r="60" spans="1:38" s="4" customFormat="1" ht="12" x14ac:dyDescent="0.15">
      <c r="A60" s="73"/>
      <c r="B60" s="73"/>
      <c r="C60" s="74" t="s">
        <v>53</v>
      </c>
      <c r="D60" s="74"/>
      <c r="E60" s="74"/>
      <c r="F60" s="74"/>
      <c r="G60" s="75" t="s">
        <v>54</v>
      </c>
      <c r="H60" s="75"/>
      <c r="I60" s="75"/>
      <c r="J60" s="75"/>
      <c r="K60" s="75"/>
      <c r="L60" s="75"/>
      <c r="M60" s="76" t="s">
        <v>55</v>
      </c>
      <c r="N60" s="76"/>
      <c r="O60" s="76"/>
      <c r="P60" s="76"/>
      <c r="Q60" s="76"/>
      <c r="R60" s="76"/>
      <c r="S60" s="76"/>
      <c r="T60" s="76"/>
      <c r="U60" s="76" t="s">
        <v>56</v>
      </c>
      <c r="V60" s="76"/>
      <c r="W60" s="76"/>
      <c r="X60" s="76"/>
      <c r="Y60" s="76"/>
      <c r="Z60" s="76"/>
      <c r="AA60" s="66" t="s">
        <v>57</v>
      </c>
      <c r="AB60" s="66"/>
      <c r="AC60" s="66"/>
      <c r="AD60" s="66"/>
      <c r="AE60" s="66"/>
      <c r="AF60" s="66"/>
      <c r="AG60" s="41"/>
      <c r="AH60" s="41"/>
      <c r="AI60" s="41"/>
      <c r="AJ60" s="41"/>
      <c r="AK60" s="41"/>
      <c r="AL60" s="54"/>
    </row>
    <row r="61" spans="1:38" s="4" customFormat="1" ht="12" x14ac:dyDescent="0.15">
      <c r="A61" s="73"/>
      <c r="B61" s="73"/>
      <c r="C61" s="74"/>
      <c r="D61" s="74"/>
      <c r="E61" s="74"/>
      <c r="F61" s="74"/>
      <c r="G61" s="75"/>
      <c r="H61" s="75"/>
      <c r="I61" s="75"/>
      <c r="J61" s="75"/>
      <c r="K61" s="75"/>
      <c r="L61" s="75"/>
      <c r="M61" s="76"/>
      <c r="N61" s="76"/>
      <c r="O61" s="76"/>
      <c r="P61" s="76"/>
      <c r="Q61" s="76"/>
      <c r="R61" s="76"/>
      <c r="S61" s="76"/>
      <c r="T61" s="76"/>
      <c r="U61" s="76"/>
      <c r="V61" s="76"/>
      <c r="W61" s="76"/>
      <c r="X61" s="76"/>
      <c r="Y61" s="76"/>
      <c r="Z61" s="76"/>
      <c r="AA61" s="66"/>
      <c r="AB61" s="66"/>
      <c r="AC61" s="66"/>
      <c r="AD61" s="66"/>
      <c r="AE61" s="66"/>
      <c r="AF61" s="66"/>
      <c r="AG61" s="38"/>
      <c r="AH61" s="38"/>
      <c r="AI61" s="38"/>
      <c r="AJ61" s="38"/>
      <c r="AK61" s="38"/>
      <c r="AL61" s="53"/>
    </row>
  </sheetData>
  <sheetProtection algorithmName="SHA-512" hashValue="lx957VpTTaH/G+xFIPzMdejDzSaZE/MXh/hCSPk1GYowHvLIJxXi+YqZkEGrLpOeTXW+QMk/oDHJtZTF/aHuWg==" saltValue="jifLwTOls/0RFcnULR0dDg==" spinCount="100000" sheet="1"/>
  <mergeCells count="569">
    <mergeCell ref="A1:C1"/>
    <mergeCell ref="D1:AI1"/>
    <mergeCell ref="AJ1:AP1"/>
    <mergeCell ref="AQ1:AR1"/>
    <mergeCell ref="A2:AL2"/>
    <mergeCell ref="A3:C3"/>
    <mergeCell ref="D3:F3"/>
    <mergeCell ref="G3:I6"/>
    <mergeCell ref="J3:M3"/>
    <mergeCell ref="N3:R3"/>
    <mergeCell ref="S3:AF3"/>
    <mergeCell ref="AG3:AL3"/>
    <mergeCell ref="A4:C6"/>
    <mergeCell ref="D4:F6"/>
    <mergeCell ref="J4:M6"/>
    <mergeCell ref="N4:R6"/>
    <mergeCell ref="S4:AC6"/>
    <mergeCell ref="AD4:AF6"/>
    <mergeCell ref="AG4:AL6"/>
    <mergeCell ref="A8:C8"/>
    <mergeCell ref="D8:J8"/>
    <mergeCell ref="K8:M8"/>
    <mergeCell ref="N8:Z8"/>
    <mergeCell ref="AA8:AC8"/>
    <mergeCell ref="AD8:AE8"/>
    <mergeCell ref="AF8:AI8"/>
    <mergeCell ref="AJ8:AL8"/>
    <mergeCell ref="A9:C10"/>
    <mergeCell ref="D9:E9"/>
    <mergeCell ref="F9:J9"/>
    <mergeCell ref="K9:M10"/>
    <mergeCell ref="N9:O9"/>
    <mergeCell ref="P9:R9"/>
    <mergeCell ref="T9:V9"/>
    <mergeCell ref="X9:Z9"/>
    <mergeCell ref="AA9:AC10"/>
    <mergeCell ref="AD9:AE10"/>
    <mergeCell ref="AF9:AI10"/>
    <mergeCell ref="AJ9:AL10"/>
    <mergeCell ref="AT9:AT10"/>
    <mergeCell ref="AU9:AU10"/>
    <mergeCell ref="AV9:AV10"/>
    <mergeCell ref="AW9:AW10"/>
    <mergeCell ref="AX9:AX10"/>
    <mergeCell ref="AY9:AY10"/>
    <mergeCell ref="AZ9:AZ10"/>
    <mergeCell ref="BA9:BA10"/>
    <mergeCell ref="BB9:BB10"/>
    <mergeCell ref="BC9:BC10"/>
    <mergeCell ref="BD9:BD10"/>
    <mergeCell ref="D10:E10"/>
    <mergeCell ref="F10:J10"/>
    <mergeCell ref="N10:O10"/>
    <mergeCell ref="P10:T10"/>
    <mergeCell ref="V10:Z10"/>
    <mergeCell ref="A11:C12"/>
    <mergeCell ref="D11:E11"/>
    <mergeCell ref="F11:J11"/>
    <mergeCell ref="K11:M12"/>
    <mergeCell ref="N11:O11"/>
    <mergeCell ref="P11:R11"/>
    <mergeCell ref="T11:V11"/>
    <mergeCell ref="X11:Z11"/>
    <mergeCell ref="AA11:AC12"/>
    <mergeCell ref="AD11:AE12"/>
    <mergeCell ref="AF11:AI12"/>
    <mergeCell ref="AJ11:AL12"/>
    <mergeCell ref="AT11:AT12"/>
    <mergeCell ref="AU11:AU12"/>
    <mergeCell ref="AV11:AV12"/>
    <mergeCell ref="AW11:AW12"/>
    <mergeCell ref="AX11:AX12"/>
    <mergeCell ref="AY11:AY12"/>
    <mergeCell ref="AZ11:AZ12"/>
    <mergeCell ref="BA11:BA12"/>
    <mergeCell ref="BB11:BB12"/>
    <mergeCell ref="BC11:BC12"/>
    <mergeCell ref="BD11:BD12"/>
    <mergeCell ref="D12:E12"/>
    <mergeCell ref="F12:J12"/>
    <mergeCell ref="N12:O12"/>
    <mergeCell ref="P12:T12"/>
    <mergeCell ref="V12:Z12"/>
    <mergeCell ref="A13:C14"/>
    <mergeCell ref="D13:E13"/>
    <mergeCell ref="F13:J13"/>
    <mergeCell ref="K13:M14"/>
    <mergeCell ref="N13:O13"/>
    <mergeCell ref="P13:R13"/>
    <mergeCell ref="T13:V13"/>
    <mergeCell ref="X13:Z13"/>
    <mergeCell ref="AA13:AC14"/>
    <mergeCell ref="AZ13:AZ14"/>
    <mergeCell ref="BA13:BA14"/>
    <mergeCell ref="BB13:BB14"/>
    <mergeCell ref="BC13:BC14"/>
    <mergeCell ref="BD13:BD14"/>
    <mergeCell ref="D14:E14"/>
    <mergeCell ref="F14:J14"/>
    <mergeCell ref="N14:O14"/>
    <mergeCell ref="P14:T14"/>
    <mergeCell ref="V14:Z14"/>
    <mergeCell ref="AD13:AE14"/>
    <mergeCell ref="AF13:AI14"/>
    <mergeCell ref="AJ13:AL14"/>
    <mergeCell ref="AT13:AT14"/>
    <mergeCell ref="AU13:AU14"/>
    <mergeCell ref="AV13:AV14"/>
    <mergeCell ref="AW13:AW14"/>
    <mergeCell ref="AX13:AX14"/>
    <mergeCell ref="AY13:AY14"/>
    <mergeCell ref="A15:C16"/>
    <mergeCell ref="D15:E15"/>
    <mergeCell ref="F15:J15"/>
    <mergeCell ref="K15:M16"/>
    <mergeCell ref="N15:O15"/>
    <mergeCell ref="P15:R15"/>
    <mergeCell ref="T15:V15"/>
    <mergeCell ref="X15:Z15"/>
    <mergeCell ref="AA15:AC16"/>
    <mergeCell ref="AZ15:AZ16"/>
    <mergeCell ref="BA15:BA16"/>
    <mergeCell ref="BB15:BB16"/>
    <mergeCell ref="BC15:BC16"/>
    <mergeCell ref="BD15:BD16"/>
    <mergeCell ref="D16:E16"/>
    <mergeCell ref="F16:J16"/>
    <mergeCell ref="N16:O16"/>
    <mergeCell ref="P16:T16"/>
    <mergeCell ref="V16:Z16"/>
    <mergeCell ref="AD15:AE16"/>
    <mergeCell ref="AF15:AI16"/>
    <mergeCell ref="AJ15:AL16"/>
    <mergeCell ref="AT15:AT16"/>
    <mergeCell ref="AU15:AU16"/>
    <mergeCell ref="AV15:AV16"/>
    <mergeCell ref="AW15:AW16"/>
    <mergeCell ref="AX15:AX16"/>
    <mergeCell ref="AY15:AY16"/>
    <mergeCell ref="A17:C18"/>
    <mergeCell ref="D17:E17"/>
    <mergeCell ref="F17:J17"/>
    <mergeCell ref="K17:M18"/>
    <mergeCell ref="N17:O17"/>
    <mergeCell ref="P17:R17"/>
    <mergeCell ref="T17:V17"/>
    <mergeCell ref="X17:Z17"/>
    <mergeCell ref="AA17:AC18"/>
    <mergeCell ref="AZ17:AZ18"/>
    <mergeCell ref="BA17:BA18"/>
    <mergeCell ref="BB17:BB18"/>
    <mergeCell ref="BC17:BC18"/>
    <mergeCell ref="BD17:BD18"/>
    <mergeCell ref="D18:E18"/>
    <mergeCell ref="F18:J18"/>
    <mergeCell ref="N18:O18"/>
    <mergeCell ref="P18:T18"/>
    <mergeCell ref="V18:Z18"/>
    <mergeCell ref="AD17:AE18"/>
    <mergeCell ref="AF17:AI18"/>
    <mergeCell ref="AJ17:AL18"/>
    <mergeCell ref="AT17:AT18"/>
    <mergeCell ref="AU17:AU18"/>
    <mergeCell ref="AV17:AV18"/>
    <mergeCell ref="AW17:AW18"/>
    <mergeCell ref="AX17:AX18"/>
    <mergeCell ref="AY17:AY18"/>
    <mergeCell ref="A19:C20"/>
    <mergeCell ref="D19:E19"/>
    <mergeCell ref="F19:J19"/>
    <mergeCell ref="K19:M20"/>
    <mergeCell ref="N19:O19"/>
    <mergeCell ref="P19:R19"/>
    <mergeCell ref="T19:V19"/>
    <mergeCell ref="X19:Z19"/>
    <mergeCell ref="AA19:AC20"/>
    <mergeCell ref="AZ19:AZ20"/>
    <mergeCell ref="BA19:BA20"/>
    <mergeCell ref="BB19:BB20"/>
    <mergeCell ref="BC19:BC20"/>
    <mergeCell ref="BD19:BD20"/>
    <mergeCell ref="D20:E20"/>
    <mergeCell ref="F20:J20"/>
    <mergeCell ref="N20:O20"/>
    <mergeCell ref="P20:T20"/>
    <mergeCell ref="V20:Z20"/>
    <mergeCell ref="AD19:AE20"/>
    <mergeCell ref="AF19:AI20"/>
    <mergeCell ref="AJ19:AL20"/>
    <mergeCell ref="AT19:AT20"/>
    <mergeCell ref="AU19:AU20"/>
    <mergeCell ref="AV19:AV20"/>
    <mergeCell ref="AW19:AW20"/>
    <mergeCell ref="AX19:AX20"/>
    <mergeCell ref="AY19:AY20"/>
    <mergeCell ref="A21:C22"/>
    <mergeCell ref="D21:E21"/>
    <mergeCell ref="F21:J21"/>
    <mergeCell ref="K21:M22"/>
    <mergeCell ref="N21:O21"/>
    <mergeCell ref="P21:R21"/>
    <mergeCell ref="T21:V21"/>
    <mergeCell ref="X21:Z21"/>
    <mergeCell ref="AA21:AC22"/>
    <mergeCell ref="AZ21:AZ22"/>
    <mergeCell ref="BA21:BA22"/>
    <mergeCell ref="BB21:BB22"/>
    <mergeCell ref="BC21:BC22"/>
    <mergeCell ref="BD21:BD22"/>
    <mergeCell ref="D22:E22"/>
    <mergeCell ref="F22:J22"/>
    <mergeCell ref="N22:O22"/>
    <mergeCell ref="P22:T22"/>
    <mergeCell ref="V22:Z22"/>
    <mergeCell ref="AD21:AE22"/>
    <mergeCell ref="AF21:AI22"/>
    <mergeCell ref="AJ21:AL22"/>
    <mergeCell ref="AT21:AT22"/>
    <mergeCell ref="AU21:AU22"/>
    <mergeCell ref="AV21:AV22"/>
    <mergeCell ref="AW21:AW22"/>
    <mergeCell ref="AX21:AX22"/>
    <mergeCell ref="AY21:AY22"/>
    <mergeCell ref="A23:C24"/>
    <mergeCell ref="D23:E23"/>
    <mergeCell ref="F23:J23"/>
    <mergeCell ref="K23:M24"/>
    <mergeCell ref="N23:O23"/>
    <mergeCell ref="P23:R23"/>
    <mergeCell ref="T23:V23"/>
    <mergeCell ref="X23:Z23"/>
    <mergeCell ref="AA23:AC24"/>
    <mergeCell ref="AZ23:AZ24"/>
    <mergeCell ref="BA23:BA24"/>
    <mergeCell ref="BB23:BB24"/>
    <mergeCell ref="BC23:BC24"/>
    <mergeCell ref="BD23:BD24"/>
    <mergeCell ref="D24:E24"/>
    <mergeCell ref="F24:J24"/>
    <mergeCell ref="N24:O24"/>
    <mergeCell ref="P24:T24"/>
    <mergeCell ref="V24:Z24"/>
    <mergeCell ref="AD23:AE24"/>
    <mergeCell ref="AF23:AI24"/>
    <mergeCell ref="AJ23:AL24"/>
    <mergeCell ref="AT23:AT24"/>
    <mergeCell ref="AU23:AU24"/>
    <mergeCell ref="AV23:AV24"/>
    <mergeCell ref="AW23:AW24"/>
    <mergeCell ref="AX23:AX24"/>
    <mergeCell ref="AY23:AY24"/>
    <mergeCell ref="A25:C26"/>
    <mergeCell ref="D25:E25"/>
    <mergeCell ref="F25:J25"/>
    <mergeCell ref="K25:M26"/>
    <mergeCell ref="N25:O25"/>
    <mergeCell ref="P25:R25"/>
    <mergeCell ref="T25:V25"/>
    <mergeCell ref="X25:Z25"/>
    <mergeCell ref="AA25:AC26"/>
    <mergeCell ref="AZ25:AZ26"/>
    <mergeCell ref="BA25:BA26"/>
    <mergeCell ref="BB25:BB26"/>
    <mergeCell ref="BC25:BC26"/>
    <mergeCell ref="BD25:BD26"/>
    <mergeCell ref="D26:E26"/>
    <mergeCell ref="F26:J26"/>
    <mergeCell ref="N26:O26"/>
    <mergeCell ref="P26:T26"/>
    <mergeCell ref="V26:Z26"/>
    <mergeCell ref="AD25:AE26"/>
    <mergeCell ref="AF25:AI26"/>
    <mergeCell ref="AJ25:AL26"/>
    <mergeCell ref="AT25:AT26"/>
    <mergeCell ref="AU25:AU26"/>
    <mergeCell ref="AV25:AV26"/>
    <mergeCell ref="AW25:AW26"/>
    <mergeCell ref="AX25:AX26"/>
    <mergeCell ref="AY25:AY26"/>
    <mergeCell ref="A27:C28"/>
    <mergeCell ref="D27:E27"/>
    <mergeCell ref="F27:J27"/>
    <mergeCell ref="K27:M28"/>
    <mergeCell ref="N27:O27"/>
    <mergeCell ref="P27:R27"/>
    <mergeCell ref="T27:V27"/>
    <mergeCell ref="X27:Z27"/>
    <mergeCell ref="AA27:AC28"/>
    <mergeCell ref="AZ27:AZ28"/>
    <mergeCell ref="BA27:BA28"/>
    <mergeCell ref="BB27:BB28"/>
    <mergeCell ref="BC27:BC28"/>
    <mergeCell ref="BD27:BD28"/>
    <mergeCell ref="D28:E28"/>
    <mergeCell ref="F28:J28"/>
    <mergeCell ref="N28:O28"/>
    <mergeCell ref="P28:T28"/>
    <mergeCell ref="V28:Z28"/>
    <mergeCell ref="AD27:AE28"/>
    <mergeCell ref="AF27:AI28"/>
    <mergeCell ref="AJ27:AL28"/>
    <mergeCell ref="AT27:AT28"/>
    <mergeCell ref="AU27:AU28"/>
    <mergeCell ref="AV27:AV28"/>
    <mergeCell ref="AW27:AW28"/>
    <mergeCell ref="AX27:AX28"/>
    <mergeCell ref="AY27:AY28"/>
    <mergeCell ref="A29:C30"/>
    <mergeCell ref="D29:E29"/>
    <mergeCell ref="F29:J29"/>
    <mergeCell ref="K29:M30"/>
    <mergeCell ref="N29:O29"/>
    <mergeCell ref="P29:R29"/>
    <mergeCell ref="T29:V29"/>
    <mergeCell ref="X29:Z29"/>
    <mergeCell ref="AA29:AC30"/>
    <mergeCell ref="AZ29:AZ30"/>
    <mergeCell ref="BA29:BA30"/>
    <mergeCell ref="BB29:BB30"/>
    <mergeCell ref="BC29:BC30"/>
    <mergeCell ref="BD29:BD30"/>
    <mergeCell ref="D30:E30"/>
    <mergeCell ref="F30:J30"/>
    <mergeCell ref="N30:O30"/>
    <mergeCell ref="P30:T30"/>
    <mergeCell ref="V30:Z30"/>
    <mergeCell ref="AD29:AE30"/>
    <mergeCell ref="AF29:AI30"/>
    <mergeCell ref="AJ29:AL30"/>
    <mergeCell ref="AT29:AT30"/>
    <mergeCell ref="AU29:AU30"/>
    <mergeCell ref="AV29:AV30"/>
    <mergeCell ref="AW29:AW30"/>
    <mergeCell ref="AX29:AX30"/>
    <mergeCell ref="AY29:AY30"/>
    <mergeCell ref="A31:C32"/>
    <mergeCell ref="D31:E31"/>
    <mergeCell ref="F31:J31"/>
    <mergeCell ref="K31:M32"/>
    <mergeCell ref="N31:O31"/>
    <mergeCell ref="P31:R31"/>
    <mergeCell ref="T31:V31"/>
    <mergeCell ref="X31:Z31"/>
    <mergeCell ref="AA31:AC32"/>
    <mergeCell ref="AZ31:AZ32"/>
    <mergeCell ref="BA31:BA32"/>
    <mergeCell ref="BB31:BB32"/>
    <mergeCell ref="BC31:BC32"/>
    <mergeCell ref="BD31:BD32"/>
    <mergeCell ref="D32:E32"/>
    <mergeCell ref="F32:J32"/>
    <mergeCell ref="N32:O32"/>
    <mergeCell ref="P32:T32"/>
    <mergeCell ref="V32:Z32"/>
    <mergeCell ref="AD31:AE32"/>
    <mergeCell ref="AF31:AI32"/>
    <mergeCell ref="AJ31:AL32"/>
    <mergeCell ref="AT31:AT32"/>
    <mergeCell ref="AU31:AU32"/>
    <mergeCell ref="AV31:AV32"/>
    <mergeCell ref="AW31:AW32"/>
    <mergeCell ref="AX31:AX32"/>
    <mergeCell ref="AY31:AY32"/>
    <mergeCell ref="A33:C34"/>
    <mergeCell ref="D33:E33"/>
    <mergeCell ref="F33:J33"/>
    <mergeCell ref="K33:M34"/>
    <mergeCell ref="N33:O33"/>
    <mergeCell ref="P33:R33"/>
    <mergeCell ref="T33:V33"/>
    <mergeCell ref="X33:Z33"/>
    <mergeCell ref="AA33:AC34"/>
    <mergeCell ref="AZ33:AZ34"/>
    <mergeCell ref="BA33:BA34"/>
    <mergeCell ref="BB33:BB34"/>
    <mergeCell ref="BC33:BC34"/>
    <mergeCell ref="BD33:BD34"/>
    <mergeCell ref="D34:E34"/>
    <mergeCell ref="F34:J34"/>
    <mergeCell ref="N34:O34"/>
    <mergeCell ref="P34:T34"/>
    <mergeCell ref="V34:Z34"/>
    <mergeCell ref="AD33:AE34"/>
    <mergeCell ref="AF33:AI34"/>
    <mergeCell ref="AJ33:AL34"/>
    <mergeCell ref="AT33:AT34"/>
    <mergeCell ref="AU33:AU34"/>
    <mergeCell ref="AV33:AV34"/>
    <mergeCell ref="AW33:AW34"/>
    <mergeCell ref="AX33:AX34"/>
    <mergeCell ref="AY33:AY34"/>
    <mergeCell ref="A35:C36"/>
    <mergeCell ref="D35:E35"/>
    <mergeCell ref="F35:J35"/>
    <mergeCell ref="K35:M36"/>
    <mergeCell ref="N35:O35"/>
    <mergeCell ref="P35:R35"/>
    <mergeCell ref="T35:V35"/>
    <mergeCell ref="X35:Z35"/>
    <mergeCell ref="AA35:AC36"/>
    <mergeCell ref="AZ35:AZ36"/>
    <mergeCell ref="BA35:BA36"/>
    <mergeCell ref="BB35:BB36"/>
    <mergeCell ref="BC35:BC36"/>
    <mergeCell ref="BD35:BD36"/>
    <mergeCell ref="D36:E36"/>
    <mergeCell ref="F36:J36"/>
    <mergeCell ref="N36:O36"/>
    <mergeCell ref="P36:T36"/>
    <mergeCell ref="V36:Z36"/>
    <mergeCell ref="AD35:AE36"/>
    <mergeCell ref="AF35:AI36"/>
    <mergeCell ref="AJ35:AL36"/>
    <mergeCell ref="AT35:AT36"/>
    <mergeCell ref="AU35:AU36"/>
    <mergeCell ref="AV35:AV36"/>
    <mergeCell ref="AW35:AW36"/>
    <mergeCell ref="AX35:AX36"/>
    <mergeCell ref="AY35:AY36"/>
    <mergeCell ref="A37:C38"/>
    <mergeCell ref="D37:E37"/>
    <mergeCell ref="F37:J37"/>
    <mergeCell ref="K37:M38"/>
    <mergeCell ref="N37:O37"/>
    <mergeCell ref="P37:R37"/>
    <mergeCell ref="T37:V37"/>
    <mergeCell ref="X37:Z37"/>
    <mergeCell ref="AA37:AC38"/>
    <mergeCell ref="AZ37:AZ38"/>
    <mergeCell ref="BA37:BA38"/>
    <mergeCell ref="BB37:BB38"/>
    <mergeCell ref="BC37:BC38"/>
    <mergeCell ref="BD37:BD38"/>
    <mergeCell ref="D38:E38"/>
    <mergeCell ref="F38:J38"/>
    <mergeCell ref="N38:O38"/>
    <mergeCell ref="P38:T38"/>
    <mergeCell ref="V38:Z38"/>
    <mergeCell ref="AD37:AE38"/>
    <mergeCell ref="AF37:AI38"/>
    <mergeCell ref="AJ37:AL38"/>
    <mergeCell ref="AT37:AT38"/>
    <mergeCell ref="AU37:AU38"/>
    <mergeCell ref="AV37:AV38"/>
    <mergeCell ref="AW37:AW38"/>
    <mergeCell ref="AX37:AX38"/>
    <mergeCell ref="AY37:AY38"/>
    <mergeCell ref="A39:C40"/>
    <mergeCell ref="D39:E39"/>
    <mergeCell ref="F39:J39"/>
    <mergeCell ref="K39:M40"/>
    <mergeCell ref="N39:O39"/>
    <mergeCell ref="P39:R39"/>
    <mergeCell ref="T39:V39"/>
    <mergeCell ref="X39:Z39"/>
    <mergeCell ref="AA39:AC40"/>
    <mergeCell ref="AZ39:AZ40"/>
    <mergeCell ref="BA39:BA40"/>
    <mergeCell ref="BB39:BB40"/>
    <mergeCell ref="BC39:BC40"/>
    <mergeCell ref="BD39:BD40"/>
    <mergeCell ref="D40:E40"/>
    <mergeCell ref="F40:J40"/>
    <mergeCell ref="N40:O40"/>
    <mergeCell ref="P40:T40"/>
    <mergeCell ref="V40:Z40"/>
    <mergeCell ref="AD39:AE40"/>
    <mergeCell ref="AF39:AI40"/>
    <mergeCell ref="AJ39:AL40"/>
    <mergeCell ref="AT39:AT40"/>
    <mergeCell ref="AU39:AU40"/>
    <mergeCell ref="AV39:AV40"/>
    <mergeCell ref="AW39:AW40"/>
    <mergeCell ref="AX39:AX40"/>
    <mergeCell ref="AY39:AY40"/>
    <mergeCell ref="A41:C42"/>
    <mergeCell ref="D41:E41"/>
    <mergeCell ref="F41:J41"/>
    <mergeCell ref="K41:M42"/>
    <mergeCell ref="N41:O41"/>
    <mergeCell ref="P41:R41"/>
    <mergeCell ref="T41:V41"/>
    <mergeCell ref="X41:Z41"/>
    <mergeCell ref="AA41:AC42"/>
    <mergeCell ref="AZ41:AZ42"/>
    <mergeCell ref="BA41:BA42"/>
    <mergeCell ref="BB41:BB42"/>
    <mergeCell ref="BC41:BC42"/>
    <mergeCell ref="BD41:BD42"/>
    <mergeCell ref="D42:E42"/>
    <mergeCell ref="F42:J42"/>
    <mergeCell ref="N42:O42"/>
    <mergeCell ref="P42:T42"/>
    <mergeCell ref="V42:Z42"/>
    <mergeCell ref="AD41:AE42"/>
    <mergeCell ref="AF41:AI42"/>
    <mergeCell ref="AJ41:AL42"/>
    <mergeCell ref="AT41:AT42"/>
    <mergeCell ref="AU41:AU42"/>
    <mergeCell ref="AV41:AV42"/>
    <mergeCell ref="AW41:AW42"/>
    <mergeCell ref="AX41:AX42"/>
    <mergeCell ref="AY41:AY42"/>
    <mergeCell ref="A43:C44"/>
    <mergeCell ref="D43:E43"/>
    <mergeCell ref="F43:J43"/>
    <mergeCell ref="K43:M44"/>
    <mergeCell ref="N43:O43"/>
    <mergeCell ref="P43:R43"/>
    <mergeCell ref="T43:V43"/>
    <mergeCell ref="X43:Z43"/>
    <mergeCell ref="AA43:AC44"/>
    <mergeCell ref="AZ43:AZ44"/>
    <mergeCell ref="BA43:BA44"/>
    <mergeCell ref="BB43:BB44"/>
    <mergeCell ref="BC43:BC44"/>
    <mergeCell ref="BD43:BD44"/>
    <mergeCell ref="D44:E44"/>
    <mergeCell ref="F44:J44"/>
    <mergeCell ref="N44:O44"/>
    <mergeCell ref="P44:T44"/>
    <mergeCell ref="V44:Z44"/>
    <mergeCell ref="AD43:AE44"/>
    <mergeCell ref="AF43:AI44"/>
    <mergeCell ref="AJ43:AL44"/>
    <mergeCell ref="AT43:AT44"/>
    <mergeCell ref="AU43:AU44"/>
    <mergeCell ref="AV43:AV44"/>
    <mergeCell ref="AW43:AW44"/>
    <mergeCell ref="AX43:AX44"/>
    <mergeCell ref="AY43:AY44"/>
    <mergeCell ref="A46:E46"/>
    <mergeCell ref="F46:R46"/>
    <mergeCell ref="S46:V46"/>
    <mergeCell ref="AA46:AL46"/>
    <mergeCell ref="A47:E47"/>
    <mergeCell ref="S47:V47"/>
    <mergeCell ref="AA47:AL48"/>
    <mergeCell ref="A48:E48"/>
    <mergeCell ref="S48:V48"/>
    <mergeCell ref="A49:E49"/>
    <mergeCell ref="S49:V49"/>
    <mergeCell ref="C50:E50"/>
    <mergeCell ref="F50:H50"/>
    <mergeCell ref="I50:K50"/>
    <mergeCell ref="M50:Q50"/>
    <mergeCell ref="R50:T50"/>
    <mergeCell ref="A52:B61"/>
    <mergeCell ref="D53:L54"/>
    <mergeCell ref="P53:X54"/>
    <mergeCell ref="C60:F61"/>
    <mergeCell ref="G60:L61"/>
    <mergeCell ref="M60:T61"/>
    <mergeCell ref="U60:Z61"/>
    <mergeCell ref="AA60:AF61"/>
    <mergeCell ref="AA53:AI54"/>
    <mergeCell ref="D55:F55"/>
    <mergeCell ref="G55:I55"/>
    <mergeCell ref="J55:L55"/>
    <mergeCell ref="P55:R55"/>
    <mergeCell ref="S55:U55"/>
    <mergeCell ref="AA55:AC55"/>
    <mergeCell ref="AD55:AL55"/>
    <mergeCell ref="D56:F58"/>
    <mergeCell ref="G56:I58"/>
    <mergeCell ref="J56:L58"/>
    <mergeCell ref="P56:R58"/>
    <mergeCell ref="S56:U58"/>
    <mergeCell ref="AA56:AC58"/>
  </mergeCells>
  <phoneticPr fontId="16"/>
  <conditionalFormatting sqref="K6:M6">
    <cfRule type="cellIs" dxfId="5" priority="2" operator="equal">
      <formula>""</formula>
    </cfRule>
    <cfRule type="cellIs" dxfId="4" priority="3" operator="equal">
      <formula>"営業担当"</formula>
    </cfRule>
  </conditionalFormatting>
  <conditionalFormatting sqref="AM6:AN6">
    <cfRule type="expression" priority="4">
      <formula>OR(, ISBLANK(精算区分), 精算区分="本人立替")</formula>
    </cfRule>
    <cfRule type="expression" dxfId="3" priority="5">
      <formula>NOT(OR(, ISBLANK(精算区分), 精算区分="本人立替"))</formula>
    </cfRule>
  </conditionalFormatting>
  <dataValidations count="6">
    <dataValidation allowBlank="1" showInputMessage="1" showErrorMessage="1" sqref="AM4:AR4 A6:I6 A9 P9:R9 T9:V9 X9:AA9 AF9 AJ9 P10:P44 V10 A11 Q11:R11 T11:V11 X11:AA11 AF11 AJ11 V12 A13 Q13:R13 T13:V13 X13:AA13 AF13 AJ13 V14 A15 Q15:R15 T15:V15 X15:AA15 AF15 AJ15 V16 A17 Q17:R17 T17:V17 X17:AA17 AF17 AJ17 V18 A19 Q19:R19 T19:V19 X19:AA19 AF19 AJ19 V20 A21 Q21:R21 T21:V21 X21:AA21 AF21 AJ21 V22 A23 Q23:R23 T23:V23 X23:AA23 AF23 AJ23 V24 A25 Q25:R25 T25:V25 X25:AA25 AF25 AJ25 V26 A27 Q27:R27 T27:V27 X27:AA27 AF27 AJ27 V28 A29 Q29:R29 T29:V29 X29:AA29 AF29 AJ29 V30 A31 Q31:R31 T31:V31 X31:AA31 AF31 AJ31 V32 A33 Q33:R33 T33:V33 X33:AA33 AF33 AJ33 V34 A35 Q35:R35 T35:V35 X35:AA35 AF35 AJ35 V36 A37 Q37:R37 T37:V37 X37:AA37 AF37 AJ37 V38 A39 Q39:R39 T39:V39 X39:AA39 AF39 AJ39 V40 A41 Q41:R41 T41:V41 X41:AA41 AF41 AJ41 V42 A43 Q43:R43 T43:V43 X43:AA43 AF43 AJ43 V44" xr:uid="{00000000-0002-0000-0000-000000000000}">
      <formula1>0</formula1>
      <formula2>0</formula2>
    </dataValidation>
    <dataValidation allowBlank="1" showInputMessage="1" showErrorMessage="1" promptTitle="領収証No. " prompt="精算書作成者が領収証につけた番号を入力します" sqref="AS45:AT45 AV45" xr:uid="{00000000-0002-0000-0000-000001000000}">
      <formula1>0</formula1>
      <formula2>0</formula2>
    </dataValidation>
    <dataValidation type="list" allowBlank="1" showInputMessage="1" showErrorMessage="1" sqref="F9:J9 F11:J11 F13:J13 F15:J15 F17:J17 F19:J19 F21:J21 F23:J23 F25:J25 F27:J27 F29:J29 F31:J31 F33:J33 F35 F37:J37 F39:J39 F41:J41 F43" xr:uid="{00000000-0002-0000-0000-000002000000}">
      <formula1>"営業活動,客先作業,研修・セミナー参加,深夜帰宅,接待関連,その他会社業務"</formula1>
      <formula2>0</formula2>
    </dataValidation>
    <dataValidation type="list" showInputMessage="1" showErrorMessage="1" sqref="J4:M6" xr:uid="{00000000-0002-0000-0000-000003000000}">
      <formula1>部門</formula1>
      <formula2>0</formula2>
    </dataValidation>
    <dataValidation type="list" allowBlank="1" showInputMessage="1" showErrorMessage="1" sqref="K9:M44" xr:uid="{00000000-0002-0000-0000-000004000000}">
      <formula1>"電車・バス,タクシー"</formula1>
      <formula2>0</formula2>
    </dataValidation>
    <dataValidation type="list" allowBlank="1" showInputMessage="1" showErrorMessage="1" sqref="AD9:AE44" xr:uid="{00000000-0002-0000-0000-000005000000}">
      <formula1>"●,"</formula1>
      <formula2>0</formula2>
    </dataValidation>
  </dataValidations>
  <pageMargins left="0.70833333333333304" right="0.70833333333333304" top="0.74791666666666701" bottom="0.74861111111111101" header="0.511811023622047" footer="0.31527777777777799"/>
  <pageSetup paperSize="9" scale="86" orientation="portrait" horizontalDpi="300" verticalDpi="300" r:id="rId1"/>
  <headerFooter>
    <oddFooter>&amp;RVer.2024-04</oddFooter>
  </headerFooter>
  <colBreaks count="1" manualBreakCount="1">
    <brk id="39" max="1048575" man="1"/>
  </colBreak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BE67"/>
  <sheetViews>
    <sheetView showGridLines="0" showZeros="0" view="pageBreakPreview" zoomScaleNormal="100" workbookViewId="0">
      <pane ySplit="8" topLeftCell="A9" activePane="bottomLeft" state="frozen"/>
      <selection pane="bottomLeft" activeCell="AH4" sqref="AH4"/>
    </sheetView>
  </sheetViews>
  <sheetFormatPr defaultColWidth="2.625" defaultRowHeight="13.5" x14ac:dyDescent="0.15"/>
  <cols>
    <col min="1" max="1" width="9" style="1" customWidth="1"/>
    <col min="2" max="47" width="2.625" style="1"/>
    <col min="48" max="48" width="4.875" style="1" customWidth="1"/>
    <col min="49" max="16384" width="2.625" style="1"/>
  </cols>
  <sheetData>
    <row r="1" spans="2:57" ht="24" customHeight="1" x14ac:dyDescent="0.15">
      <c r="B1" s="114"/>
      <c r="C1" s="114"/>
      <c r="D1" s="114"/>
      <c r="E1" s="115" t="s">
        <v>58</v>
      </c>
      <c r="F1" s="115"/>
      <c r="G1" s="115"/>
      <c r="H1" s="115"/>
      <c r="I1" s="115"/>
      <c r="J1" s="115"/>
      <c r="K1" s="115"/>
      <c r="L1" s="115"/>
      <c r="M1" s="115"/>
      <c r="N1" s="115"/>
      <c r="O1" s="115"/>
      <c r="P1" s="115"/>
      <c r="Q1" s="115"/>
      <c r="R1" s="115"/>
      <c r="S1" s="115"/>
      <c r="T1" s="115"/>
      <c r="U1" s="115"/>
      <c r="V1" s="115"/>
      <c r="W1" s="115"/>
      <c r="X1" s="115"/>
      <c r="Y1" s="115"/>
      <c r="Z1" s="115"/>
      <c r="AA1" s="115"/>
      <c r="AB1" s="115"/>
      <c r="AC1" s="115"/>
      <c r="AD1" s="115"/>
      <c r="AE1" s="115"/>
      <c r="AF1" s="115"/>
      <c r="AG1" s="115"/>
      <c r="AH1" s="115"/>
      <c r="AI1" s="115"/>
      <c r="AJ1" s="115"/>
      <c r="AK1" s="116"/>
      <c r="AL1" s="116"/>
      <c r="AM1" s="116"/>
      <c r="AN1" s="116"/>
      <c r="AO1" s="116"/>
      <c r="AP1" s="116"/>
      <c r="AQ1" s="116"/>
      <c r="AR1" s="116" t="str">
        <f>IF(会社名="サン・ジャパン", "JP", IF(会社名="SJホールディングス", "HD", ""))</f>
        <v/>
      </c>
      <c r="AS1" s="116"/>
    </row>
    <row r="2" spans="2:57" s="3" customFormat="1" ht="12" customHeight="1" x14ac:dyDescent="0.15">
      <c r="B2" s="128" t="s">
        <v>59</v>
      </c>
      <c r="C2" s="128"/>
      <c r="D2" s="128"/>
      <c r="E2" s="128"/>
      <c r="F2" s="128"/>
      <c r="G2" s="128"/>
      <c r="H2" s="128"/>
      <c r="I2" s="128"/>
      <c r="J2" s="128"/>
      <c r="K2" s="128"/>
      <c r="L2" s="128"/>
      <c r="M2" s="128"/>
      <c r="N2" s="128"/>
      <c r="O2" s="128"/>
      <c r="P2" s="128"/>
      <c r="Q2" s="128"/>
      <c r="R2" s="128"/>
      <c r="S2" s="128"/>
      <c r="T2" s="128"/>
      <c r="U2" s="128"/>
      <c r="V2" s="128"/>
      <c r="W2" s="128"/>
      <c r="X2" s="128"/>
      <c r="Y2" s="128"/>
      <c r="Z2" s="128"/>
      <c r="AA2" s="128"/>
      <c r="AB2" s="128"/>
      <c r="AC2" s="128"/>
      <c r="AD2" s="128"/>
      <c r="AE2" s="128"/>
      <c r="AF2" s="128"/>
      <c r="AG2" s="128"/>
      <c r="AH2" s="128"/>
      <c r="AI2" s="128"/>
      <c r="AJ2" s="128"/>
      <c r="AK2" s="128"/>
      <c r="AL2" s="128"/>
      <c r="AM2" s="128"/>
      <c r="AN2" s="2"/>
      <c r="AO2" s="2"/>
      <c r="AP2" s="2"/>
      <c r="AQ2" s="2"/>
      <c r="AR2" s="2"/>
      <c r="AS2" s="2"/>
    </row>
    <row r="3" spans="2:57" s="4" customFormat="1" ht="13.5" customHeight="1" x14ac:dyDescent="0.15">
      <c r="B3" s="118" t="s">
        <v>2</v>
      </c>
      <c r="C3" s="118"/>
      <c r="D3" s="118"/>
      <c r="E3" s="118" t="s">
        <v>3</v>
      </c>
      <c r="F3" s="118"/>
      <c r="G3" s="118"/>
      <c r="H3" s="119" t="s">
        <v>4</v>
      </c>
      <c r="I3" s="119"/>
      <c r="J3" s="119"/>
      <c r="K3" s="118" t="s">
        <v>5</v>
      </c>
      <c r="L3" s="118"/>
      <c r="M3" s="118"/>
      <c r="N3" s="118"/>
      <c r="O3" s="118" t="s">
        <v>6</v>
      </c>
      <c r="P3" s="118"/>
      <c r="Q3" s="118"/>
      <c r="R3" s="118"/>
      <c r="S3" s="118"/>
      <c r="T3" s="129" t="s">
        <v>7</v>
      </c>
      <c r="U3" s="129"/>
      <c r="V3" s="129"/>
      <c r="W3" s="129"/>
      <c r="X3" s="129"/>
      <c r="Y3" s="129"/>
      <c r="Z3" s="129"/>
      <c r="AA3" s="129"/>
      <c r="AB3" s="129"/>
      <c r="AC3" s="129"/>
      <c r="AD3" s="129"/>
      <c r="AE3" s="129"/>
      <c r="AF3" s="129"/>
      <c r="AG3" s="129"/>
      <c r="AH3" s="118" t="s">
        <v>8</v>
      </c>
      <c r="AI3" s="118"/>
      <c r="AJ3" s="118"/>
      <c r="AK3" s="118"/>
      <c r="AL3" s="118"/>
      <c r="AM3" s="118"/>
    </row>
    <row r="4" spans="2:57" s="4" customFormat="1" ht="13.5" customHeight="1" x14ac:dyDescent="0.15">
      <c r="B4" s="68"/>
      <c r="C4" s="68"/>
      <c r="D4" s="68"/>
      <c r="E4" s="68"/>
      <c r="F4" s="68"/>
      <c r="G4" s="68"/>
      <c r="H4" s="119"/>
      <c r="I4" s="119"/>
      <c r="J4" s="119"/>
      <c r="K4" s="121" t="s">
        <v>60</v>
      </c>
      <c r="L4" s="121"/>
      <c r="M4" s="121"/>
      <c r="N4" s="121"/>
      <c r="O4" s="121">
        <v>11</v>
      </c>
      <c r="P4" s="121"/>
      <c r="Q4" s="121"/>
      <c r="R4" s="121"/>
      <c r="S4" s="121"/>
      <c r="T4" s="130" t="s">
        <v>61</v>
      </c>
      <c r="U4" s="130"/>
      <c r="V4" s="130"/>
      <c r="W4" s="130"/>
      <c r="X4" s="130"/>
      <c r="Y4" s="130"/>
      <c r="Z4" s="130"/>
      <c r="AA4" s="130"/>
      <c r="AB4" s="130"/>
      <c r="AC4" s="130"/>
      <c r="AD4" s="130"/>
      <c r="AE4" s="123" t="s">
        <v>11</v>
      </c>
      <c r="AF4" s="123"/>
      <c r="AG4" s="123"/>
      <c r="AH4" s="124">
        <f ca="1">NOW()</f>
        <v>46234.41901701389</v>
      </c>
      <c r="AI4" s="124"/>
      <c r="AJ4" s="124"/>
      <c r="AK4" s="124"/>
      <c r="AL4" s="124"/>
      <c r="AM4" s="124"/>
    </row>
    <row r="5" spans="2:57" s="4" customFormat="1" ht="12" x14ac:dyDescent="0.15">
      <c r="B5" s="68"/>
      <c r="C5" s="68"/>
      <c r="D5" s="68"/>
      <c r="E5" s="68"/>
      <c r="F5" s="68"/>
      <c r="G5" s="68"/>
      <c r="H5" s="119"/>
      <c r="I5" s="119"/>
      <c r="J5" s="119"/>
      <c r="K5" s="121"/>
      <c r="L5" s="121"/>
      <c r="M5" s="121"/>
      <c r="N5" s="121"/>
      <c r="O5" s="121"/>
      <c r="P5" s="121"/>
      <c r="Q5" s="121"/>
      <c r="R5" s="121"/>
      <c r="S5" s="121"/>
      <c r="T5" s="130"/>
      <c r="U5" s="130"/>
      <c r="V5" s="130"/>
      <c r="W5" s="130"/>
      <c r="X5" s="130"/>
      <c r="Y5" s="130"/>
      <c r="Z5" s="130"/>
      <c r="AA5" s="130"/>
      <c r="AB5" s="130"/>
      <c r="AC5" s="130"/>
      <c r="AD5" s="130"/>
      <c r="AE5" s="123"/>
      <c r="AF5" s="123"/>
      <c r="AG5" s="123"/>
      <c r="AH5" s="124"/>
      <c r="AI5" s="124"/>
      <c r="AJ5" s="124"/>
      <c r="AK5" s="124"/>
      <c r="AL5" s="124"/>
      <c r="AM5" s="124"/>
    </row>
    <row r="6" spans="2:57" s="4" customFormat="1" ht="12" x14ac:dyDescent="0.15">
      <c r="B6" s="68"/>
      <c r="C6" s="68"/>
      <c r="D6" s="68"/>
      <c r="E6" s="68"/>
      <c r="F6" s="68"/>
      <c r="G6" s="68"/>
      <c r="H6" s="119"/>
      <c r="I6" s="119"/>
      <c r="J6" s="119"/>
      <c r="K6" s="121"/>
      <c r="L6" s="121"/>
      <c r="M6" s="121"/>
      <c r="N6" s="121"/>
      <c r="O6" s="121"/>
      <c r="P6" s="121"/>
      <c r="Q6" s="121"/>
      <c r="R6" s="121"/>
      <c r="S6" s="121"/>
      <c r="T6" s="130"/>
      <c r="U6" s="130"/>
      <c r="V6" s="130"/>
      <c r="W6" s="130"/>
      <c r="X6" s="130"/>
      <c r="Y6" s="130"/>
      <c r="Z6" s="130"/>
      <c r="AA6" s="130"/>
      <c r="AB6" s="130"/>
      <c r="AC6" s="130"/>
      <c r="AD6" s="130"/>
      <c r="AE6" s="123"/>
      <c r="AF6" s="123"/>
      <c r="AG6" s="123"/>
      <c r="AH6" s="124"/>
      <c r="AI6" s="124"/>
      <c r="AJ6" s="124"/>
      <c r="AK6" s="124"/>
      <c r="AL6" s="124"/>
      <c r="AM6" s="124"/>
    </row>
    <row r="7" spans="2:57" s="4" customFormat="1" ht="12" x14ac:dyDescent="0.15">
      <c r="B7" s="5"/>
      <c r="C7" s="5"/>
      <c r="D7" s="5"/>
      <c r="E7" s="5"/>
      <c r="F7" s="5"/>
      <c r="G7" s="5"/>
      <c r="H7" s="5"/>
      <c r="I7" s="5"/>
      <c r="J7" s="5"/>
      <c r="K7" s="5"/>
      <c r="L7" s="6"/>
      <c r="M7" s="6"/>
      <c r="N7" s="6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</row>
    <row r="8" spans="2:57" ht="12" customHeight="1" x14ac:dyDescent="0.15">
      <c r="B8" s="110" t="s">
        <v>12</v>
      </c>
      <c r="C8" s="110"/>
      <c r="D8" s="110"/>
      <c r="E8" s="111" t="s">
        <v>13</v>
      </c>
      <c r="F8" s="111"/>
      <c r="G8" s="111"/>
      <c r="H8" s="111"/>
      <c r="I8" s="111"/>
      <c r="J8" s="111"/>
      <c r="K8" s="111"/>
      <c r="L8" s="112" t="s">
        <v>14</v>
      </c>
      <c r="M8" s="112"/>
      <c r="N8" s="112"/>
      <c r="O8" s="111" t="s">
        <v>15</v>
      </c>
      <c r="P8" s="111"/>
      <c r="Q8" s="111"/>
      <c r="R8" s="111"/>
      <c r="S8" s="111"/>
      <c r="T8" s="111"/>
      <c r="U8" s="111"/>
      <c r="V8" s="111"/>
      <c r="W8" s="111"/>
      <c r="X8" s="111"/>
      <c r="Y8" s="111"/>
      <c r="Z8" s="111"/>
      <c r="AA8" s="111"/>
      <c r="AB8" s="111" t="s">
        <v>62</v>
      </c>
      <c r="AC8" s="111"/>
      <c r="AD8" s="111"/>
      <c r="AE8" s="111" t="s">
        <v>17</v>
      </c>
      <c r="AF8" s="111"/>
      <c r="AG8" s="111" t="s">
        <v>18</v>
      </c>
      <c r="AH8" s="111"/>
      <c r="AI8" s="111"/>
      <c r="AJ8" s="111"/>
      <c r="AK8" s="111" t="s">
        <v>19</v>
      </c>
      <c r="AL8" s="111"/>
      <c r="AM8" s="111"/>
      <c r="AU8" s="7"/>
      <c r="AV8" s="7"/>
      <c r="AW8" s="7"/>
      <c r="AX8" s="7"/>
      <c r="AY8" s="7"/>
      <c r="AZ8" s="7"/>
      <c r="BA8" s="7"/>
      <c r="BB8" s="8"/>
      <c r="BC8" s="8"/>
      <c r="BD8" s="8"/>
      <c r="BE8" s="8"/>
    </row>
    <row r="9" spans="2:57" ht="14.25" customHeight="1" x14ac:dyDescent="0.15">
      <c r="B9" s="97">
        <v>39066</v>
      </c>
      <c r="C9" s="97"/>
      <c r="D9" s="97"/>
      <c r="E9" s="98" t="s">
        <v>20</v>
      </c>
      <c r="F9" s="98"/>
      <c r="G9" s="99" t="s">
        <v>63</v>
      </c>
      <c r="H9" s="99"/>
      <c r="I9" s="99"/>
      <c r="J9" s="99"/>
      <c r="K9" s="99"/>
      <c r="L9" s="94" t="s">
        <v>22</v>
      </c>
      <c r="M9" s="94"/>
      <c r="N9" s="94"/>
      <c r="O9" s="98" t="s">
        <v>23</v>
      </c>
      <c r="P9" s="98"/>
      <c r="Q9" s="125" t="s">
        <v>64</v>
      </c>
      <c r="R9" s="125"/>
      <c r="S9" s="125"/>
      <c r="T9" s="9" t="str">
        <f>IF(AE9="","⇒","⇔")</f>
        <v>⇔</v>
      </c>
      <c r="U9" s="126" t="s">
        <v>65</v>
      </c>
      <c r="V9" s="126"/>
      <c r="W9" s="126"/>
      <c r="X9" s="9" t="str">
        <f>IF(AE9="","⇒","⇔")</f>
        <v>⇔</v>
      </c>
      <c r="Y9" s="127"/>
      <c r="Z9" s="127"/>
      <c r="AA9" s="127"/>
      <c r="AB9" s="104">
        <v>360</v>
      </c>
      <c r="AC9" s="104"/>
      <c r="AD9" s="104"/>
      <c r="AE9" s="94" t="s">
        <v>28</v>
      </c>
      <c r="AF9" s="94"/>
      <c r="AG9" s="95">
        <f>IF(AND(L9="電車・バス", AE9="●"), AB9*2, IF(OR(L9="電車・バス",L9= "タクシー"), AB9, 0))</f>
        <v>720</v>
      </c>
      <c r="AH9" s="95"/>
      <c r="AI9" s="95"/>
      <c r="AJ9" s="95"/>
      <c r="AK9" s="94"/>
      <c r="AL9" s="94"/>
      <c r="AM9" s="94"/>
      <c r="AU9" s="86"/>
      <c r="AV9" s="86"/>
      <c r="AW9" s="86"/>
      <c r="AX9" s="96"/>
      <c r="AY9" s="96"/>
      <c r="AZ9" s="86"/>
      <c r="BA9" s="86"/>
      <c r="BB9" s="87"/>
      <c r="BC9" s="88"/>
      <c r="BD9" s="88"/>
      <c r="BE9" s="88"/>
    </row>
    <row r="10" spans="2:57" ht="14.25" customHeight="1" x14ac:dyDescent="0.15">
      <c r="B10" s="97"/>
      <c r="C10" s="97"/>
      <c r="D10" s="97"/>
      <c r="E10" s="89" t="s">
        <v>29</v>
      </c>
      <c r="F10" s="89"/>
      <c r="G10" s="90" t="s">
        <v>66</v>
      </c>
      <c r="H10" s="90"/>
      <c r="I10" s="90"/>
      <c r="J10" s="90"/>
      <c r="K10" s="90"/>
      <c r="L10" s="94"/>
      <c r="M10" s="94"/>
      <c r="N10" s="94"/>
      <c r="O10" s="89" t="s">
        <v>31</v>
      </c>
      <c r="P10" s="89"/>
      <c r="Q10" s="92" t="s">
        <v>67</v>
      </c>
      <c r="R10" s="92"/>
      <c r="S10" s="92"/>
      <c r="T10" s="92"/>
      <c r="U10" s="92"/>
      <c r="V10" s="12" t="str">
        <f>IF(AE9="","⇒","⇔")</f>
        <v>⇔</v>
      </c>
      <c r="W10" s="93"/>
      <c r="X10" s="93"/>
      <c r="Y10" s="93"/>
      <c r="Z10" s="93"/>
      <c r="AA10" s="93"/>
      <c r="AB10" s="104"/>
      <c r="AC10" s="104"/>
      <c r="AD10" s="104"/>
      <c r="AE10" s="94"/>
      <c r="AF10" s="94"/>
      <c r="AG10" s="95"/>
      <c r="AH10" s="95"/>
      <c r="AI10" s="95"/>
      <c r="AJ10" s="95"/>
      <c r="AK10" s="94"/>
      <c r="AL10" s="94"/>
      <c r="AM10" s="94"/>
      <c r="AU10" s="86"/>
      <c r="AV10" s="86"/>
      <c r="AW10" s="86"/>
      <c r="AX10" s="96"/>
      <c r="AY10" s="96"/>
      <c r="AZ10" s="86"/>
      <c r="BA10" s="86"/>
      <c r="BB10" s="87"/>
      <c r="BC10" s="88"/>
      <c r="BD10" s="88"/>
      <c r="BE10" s="88"/>
    </row>
    <row r="11" spans="2:57" ht="14.25" customHeight="1" x14ac:dyDescent="0.15">
      <c r="B11" s="97">
        <v>39069</v>
      </c>
      <c r="C11" s="97"/>
      <c r="D11" s="97"/>
      <c r="E11" s="98" t="s">
        <v>20</v>
      </c>
      <c r="F11" s="98"/>
      <c r="G11" s="99" t="s">
        <v>68</v>
      </c>
      <c r="H11" s="99"/>
      <c r="I11" s="99"/>
      <c r="J11" s="99"/>
      <c r="K11" s="99"/>
      <c r="L11" s="94" t="s">
        <v>40</v>
      </c>
      <c r="M11" s="94"/>
      <c r="N11" s="94"/>
      <c r="O11" s="98" t="s">
        <v>23</v>
      </c>
      <c r="P11" s="98"/>
      <c r="Q11" s="125" t="s">
        <v>64</v>
      </c>
      <c r="R11" s="125"/>
      <c r="S11" s="125"/>
      <c r="T11" s="9" t="str">
        <f>IF(AE11="","⇒","⇔")</f>
        <v>⇒</v>
      </c>
      <c r="U11" s="126" t="s">
        <v>69</v>
      </c>
      <c r="V11" s="126"/>
      <c r="W11" s="126"/>
      <c r="X11" s="9" t="str">
        <f>IF(AE11="","⇒","⇔")</f>
        <v>⇒</v>
      </c>
      <c r="Y11" s="127"/>
      <c r="Z11" s="127"/>
      <c r="AA11" s="127"/>
      <c r="AB11" s="104">
        <v>5000</v>
      </c>
      <c r="AC11" s="104"/>
      <c r="AD11" s="104"/>
      <c r="AE11" s="94"/>
      <c r="AF11" s="94"/>
      <c r="AG11" s="95">
        <f>IF(AND(L11="電車・バス", AE11="●"), AB11*2, IF(OR(L11="電車・バス",L11= "タクシー"), AB11, 0))</f>
        <v>5000</v>
      </c>
      <c r="AH11" s="95"/>
      <c r="AI11" s="95"/>
      <c r="AJ11" s="95"/>
      <c r="AK11" s="94">
        <v>1</v>
      </c>
      <c r="AL11" s="94"/>
      <c r="AM11" s="94"/>
      <c r="AU11" s="86"/>
      <c r="AV11" s="86"/>
      <c r="AW11" s="86"/>
      <c r="AX11" s="96"/>
      <c r="AY11" s="96"/>
      <c r="AZ11" s="86"/>
      <c r="BA11" s="86"/>
      <c r="BB11" s="87"/>
      <c r="BC11" s="88"/>
      <c r="BD11" s="88"/>
      <c r="BE11" s="88"/>
    </row>
    <row r="12" spans="2:57" ht="14.25" customHeight="1" x14ac:dyDescent="0.15">
      <c r="B12" s="97"/>
      <c r="C12" s="97"/>
      <c r="D12" s="97"/>
      <c r="E12" s="89" t="s">
        <v>29</v>
      </c>
      <c r="F12" s="89"/>
      <c r="G12" s="90" t="s">
        <v>69</v>
      </c>
      <c r="H12" s="90"/>
      <c r="I12" s="90"/>
      <c r="J12" s="90"/>
      <c r="K12" s="90"/>
      <c r="L12" s="94"/>
      <c r="M12" s="94"/>
      <c r="N12" s="94"/>
      <c r="O12" s="89" t="s">
        <v>31</v>
      </c>
      <c r="P12" s="89"/>
      <c r="Q12" s="92"/>
      <c r="R12" s="92"/>
      <c r="S12" s="92"/>
      <c r="T12" s="92"/>
      <c r="U12" s="92"/>
      <c r="V12" s="12" t="str">
        <f>IF(AE11="","⇒","⇔")</f>
        <v>⇒</v>
      </c>
      <c r="W12" s="93"/>
      <c r="X12" s="93"/>
      <c r="Y12" s="93"/>
      <c r="Z12" s="93"/>
      <c r="AA12" s="93"/>
      <c r="AB12" s="104"/>
      <c r="AC12" s="104"/>
      <c r="AD12" s="104"/>
      <c r="AE12" s="94"/>
      <c r="AF12" s="94"/>
      <c r="AG12" s="95"/>
      <c r="AH12" s="95"/>
      <c r="AI12" s="95"/>
      <c r="AJ12" s="95"/>
      <c r="AK12" s="94"/>
      <c r="AL12" s="94"/>
      <c r="AM12" s="94"/>
      <c r="AU12" s="86"/>
      <c r="AV12" s="86"/>
      <c r="AW12" s="86"/>
      <c r="AX12" s="96"/>
      <c r="AY12" s="96"/>
      <c r="AZ12" s="86"/>
      <c r="BA12" s="86"/>
      <c r="BB12" s="87"/>
      <c r="BC12" s="88"/>
      <c r="BD12" s="88"/>
      <c r="BE12" s="88"/>
    </row>
    <row r="13" spans="2:57" ht="14.25" customHeight="1" x14ac:dyDescent="0.15">
      <c r="B13" s="97"/>
      <c r="C13" s="97"/>
      <c r="D13" s="97"/>
      <c r="E13" s="98" t="s">
        <v>20</v>
      </c>
      <c r="F13" s="98"/>
      <c r="G13" s="99"/>
      <c r="H13" s="99"/>
      <c r="I13" s="99"/>
      <c r="J13" s="99"/>
      <c r="K13" s="99"/>
      <c r="L13" s="94"/>
      <c r="M13" s="94"/>
      <c r="N13" s="94"/>
      <c r="O13" s="98" t="s">
        <v>23</v>
      </c>
      <c r="P13" s="98"/>
      <c r="Q13" s="125"/>
      <c r="R13" s="125"/>
      <c r="S13" s="125"/>
      <c r="T13" s="9" t="str">
        <f>IF(AE13="","⇒","⇔")</f>
        <v>⇒</v>
      </c>
      <c r="U13" s="126"/>
      <c r="V13" s="126"/>
      <c r="W13" s="126"/>
      <c r="X13" s="9" t="str">
        <f>IF(AE13="","⇒","⇔")</f>
        <v>⇒</v>
      </c>
      <c r="Y13" s="127"/>
      <c r="Z13" s="127"/>
      <c r="AA13" s="127"/>
      <c r="AB13" s="104"/>
      <c r="AC13" s="104"/>
      <c r="AD13" s="104"/>
      <c r="AE13" s="94"/>
      <c r="AF13" s="94"/>
      <c r="AG13" s="95">
        <f>IF(AND(L13="電車・バス", AE13="●"), AB13*2, IF(OR(L13="電車・バス",L13= "タクシー"), AB13, 0))</f>
        <v>0</v>
      </c>
      <c r="AH13" s="95"/>
      <c r="AI13" s="95"/>
      <c r="AJ13" s="95"/>
      <c r="AK13" s="94"/>
      <c r="AL13" s="94"/>
      <c r="AM13" s="94"/>
      <c r="AU13" s="86"/>
      <c r="AV13" s="86"/>
      <c r="AW13" s="86"/>
      <c r="AX13" s="96"/>
      <c r="AY13" s="96"/>
      <c r="AZ13" s="86"/>
      <c r="BA13" s="86"/>
      <c r="BB13" s="87"/>
      <c r="BC13" s="88"/>
      <c r="BD13" s="88"/>
      <c r="BE13" s="88"/>
    </row>
    <row r="14" spans="2:57" ht="14.25" customHeight="1" x14ac:dyDescent="0.15">
      <c r="B14" s="97"/>
      <c r="C14" s="97"/>
      <c r="D14" s="97"/>
      <c r="E14" s="89" t="s">
        <v>29</v>
      </c>
      <c r="F14" s="89"/>
      <c r="G14" s="90"/>
      <c r="H14" s="90"/>
      <c r="I14" s="90"/>
      <c r="J14" s="90"/>
      <c r="K14" s="90"/>
      <c r="L14" s="94"/>
      <c r="M14" s="94"/>
      <c r="N14" s="94"/>
      <c r="O14" s="89" t="s">
        <v>31</v>
      </c>
      <c r="P14" s="89"/>
      <c r="Q14" s="92"/>
      <c r="R14" s="92"/>
      <c r="S14" s="92"/>
      <c r="T14" s="92"/>
      <c r="U14" s="92"/>
      <c r="V14" s="12" t="str">
        <f>IF(AE13="","⇒","⇔")</f>
        <v>⇒</v>
      </c>
      <c r="W14" s="93"/>
      <c r="X14" s="93"/>
      <c r="Y14" s="93"/>
      <c r="Z14" s="93"/>
      <c r="AA14" s="93"/>
      <c r="AB14" s="104"/>
      <c r="AC14" s="104"/>
      <c r="AD14" s="104"/>
      <c r="AE14" s="94"/>
      <c r="AF14" s="94"/>
      <c r="AG14" s="95"/>
      <c r="AH14" s="95"/>
      <c r="AI14" s="95"/>
      <c r="AJ14" s="95"/>
      <c r="AK14" s="94"/>
      <c r="AL14" s="94"/>
      <c r="AM14" s="94"/>
      <c r="AU14" s="86"/>
      <c r="AV14" s="86"/>
      <c r="AW14" s="86"/>
      <c r="AX14" s="96"/>
      <c r="AY14" s="96"/>
      <c r="AZ14" s="86"/>
      <c r="BA14" s="86"/>
      <c r="BB14" s="87"/>
      <c r="BC14" s="88"/>
      <c r="BD14" s="88"/>
      <c r="BE14" s="88"/>
    </row>
    <row r="15" spans="2:57" ht="14.25" customHeight="1" x14ac:dyDescent="0.15">
      <c r="B15" s="97"/>
      <c r="C15" s="97"/>
      <c r="D15" s="97"/>
      <c r="E15" s="98" t="s">
        <v>20</v>
      </c>
      <c r="F15" s="98"/>
      <c r="G15" s="99"/>
      <c r="H15" s="99"/>
      <c r="I15" s="99"/>
      <c r="J15" s="99"/>
      <c r="K15" s="99"/>
      <c r="L15" s="94"/>
      <c r="M15" s="94"/>
      <c r="N15" s="94"/>
      <c r="O15" s="98" t="s">
        <v>23</v>
      </c>
      <c r="P15" s="98"/>
      <c r="Q15" s="125"/>
      <c r="R15" s="125"/>
      <c r="S15" s="125"/>
      <c r="T15" s="9" t="str">
        <f>IF(AE15="","⇒","⇔")</f>
        <v>⇒</v>
      </c>
      <c r="U15" s="126"/>
      <c r="V15" s="126"/>
      <c r="W15" s="126"/>
      <c r="X15" s="9" t="str">
        <f>IF(AE15="","⇒","⇔")</f>
        <v>⇒</v>
      </c>
      <c r="Y15" s="127"/>
      <c r="Z15" s="127"/>
      <c r="AA15" s="127"/>
      <c r="AB15" s="104"/>
      <c r="AC15" s="104"/>
      <c r="AD15" s="104"/>
      <c r="AE15" s="94"/>
      <c r="AF15" s="94"/>
      <c r="AG15" s="95">
        <f>IF(AND(L15="電車・バス", AE15="●"), AB15*2, IF(OR(L15="電車・バス",L15= "タクシー"), AB15, 0))</f>
        <v>0</v>
      </c>
      <c r="AH15" s="95"/>
      <c r="AI15" s="95"/>
      <c r="AJ15" s="95"/>
      <c r="AK15" s="94"/>
      <c r="AL15" s="94"/>
      <c r="AM15" s="94"/>
      <c r="AU15" s="86"/>
      <c r="AV15" s="86"/>
      <c r="AW15" s="86"/>
      <c r="AX15" s="96"/>
      <c r="AY15" s="96"/>
      <c r="AZ15" s="86"/>
      <c r="BA15" s="86"/>
      <c r="BB15" s="87"/>
      <c r="BC15" s="88"/>
      <c r="BD15" s="88"/>
      <c r="BE15" s="88"/>
    </row>
    <row r="16" spans="2:57" ht="14.25" customHeight="1" x14ac:dyDescent="0.15">
      <c r="B16" s="97"/>
      <c r="C16" s="97"/>
      <c r="D16" s="97"/>
      <c r="E16" s="89" t="s">
        <v>29</v>
      </c>
      <c r="F16" s="89"/>
      <c r="G16" s="90"/>
      <c r="H16" s="90"/>
      <c r="I16" s="90"/>
      <c r="J16" s="90"/>
      <c r="K16" s="90"/>
      <c r="L16" s="94"/>
      <c r="M16" s="94"/>
      <c r="N16" s="94"/>
      <c r="O16" s="89" t="s">
        <v>31</v>
      </c>
      <c r="P16" s="89"/>
      <c r="Q16" s="92"/>
      <c r="R16" s="92"/>
      <c r="S16" s="92"/>
      <c r="T16" s="92"/>
      <c r="U16" s="92"/>
      <c r="V16" s="12" t="str">
        <f>IF(AE15="","⇒","⇔")</f>
        <v>⇒</v>
      </c>
      <c r="W16" s="93"/>
      <c r="X16" s="93"/>
      <c r="Y16" s="93"/>
      <c r="Z16" s="93"/>
      <c r="AA16" s="93"/>
      <c r="AB16" s="104"/>
      <c r="AC16" s="104"/>
      <c r="AD16" s="104"/>
      <c r="AE16" s="94"/>
      <c r="AF16" s="94"/>
      <c r="AG16" s="95"/>
      <c r="AH16" s="95"/>
      <c r="AI16" s="95"/>
      <c r="AJ16" s="95"/>
      <c r="AK16" s="94"/>
      <c r="AL16" s="94"/>
      <c r="AM16" s="94"/>
      <c r="AU16" s="86"/>
      <c r="AV16" s="86"/>
      <c r="AW16" s="86"/>
      <c r="AX16" s="96"/>
      <c r="AY16" s="96"/>
      <c r="AZ16" s="86"/>
      <c r="BA16" s="86"/>
      <c r="BB16" s="87"/>
      <c r="BC16" s="88"/>
      <c r="BD16" s="88"/>
      <c r="BE16" s="88"/>
    </row>
    <row r="17" spans="2:57" ht="14.25" customHeight="1" x14ac:dyDescent="0.15">
      <c r="B17" s="97"/>
      <c r="C17" s="97"/>
      <c r="D17" s="97"/>
      <c r="E17" s="98" t="s">
        <v>20</v>
      </c>
      <c r="F17" s="98"/>
      <c r="G17" s="99"/>
      <c r="H17" s="99"/>
      <c r="I17" s="99"/>
      <c r="J17" s="99"/>
      <c r="K17" s="99"/>
      <c r="L17" s="94"/>
      <c r="M17" s="94"/>
      <c r="N17" s="94"/>
      <c r="O17" s="98" t="s">
        <v>23</v>
      </c>
      <c r="P17" s="98"/>
      <c r="Q17" s="125"/>
      <c r="R17" s="125"/>
      <c r="S17" s="125"/>
      <c r="T17" s="9" t="str">
        <f>IF(AE17="","⇒","⇔")</f>
        <v>⇒</v>
      </c>
      <c r="U17" s="126"/>
      <c r="V17" s="126"/>
      <c r="W17" s="126"/>
      <c r="X17" s="9" t="str">
        <f>IF(AE17="","⇒","⇔")</f>
        <v>⇒</v>
      </c>
      <c r="Y17" s="127"/>
      <c r="Z17" s="127"/>
      <c r="AA17" s="127"/>
      <c r="AB17" s="104"/>
      <c r="AC17" s="104"/>
      <c r="AD17" s="104"/>
      <c r="AE17" s="94"/>
      <c r="AF17" s="94"/>
      <c r="AG17" s="95">
        <f>IF(AND(L17="電車・バス", AE17="●"), AB17*2, IF(OR(L17="電車・バス",L17= "タクシー"), AB17, 0))</f>
        <v>0</v>
      </c>
      <c r="AH17" s="95"/>
      <c r="AI17" s="95"/>
      <c r="AJ17" s="95"/>
      <c r="AK17" s="94"/>
      <c r="AL17" s="94"/>
      <c r="AM17" s="94"/>
      <c r="AU17" s="86"/>
      <c r="AV17" s="86"/>
      <c r="AW17" s="86"/>
      <c r="AX17" s="96"/>
      <c r="AY17" s="96"/>
      <c r="AZ17" s="86"/>
      <c r="BA17" s="86"/>
      <c r="BB17" s="87"/>
      <c r="BC17" s="88"/>
      <c r="BD17" s="88"/>
      <c r="BE17" s="88"/>
    </row>
    <row r="18" spans="2:57" ht="14.25" customHeight="1" x14ac:dyDescent="0.15">
      <c r="B18" s="97"/>
      <c r="C18" s="97"/>
      <c r="D18" s="97"/>
      <c r="E18" s="89" t="s">
        <v>29</v>
      </c>
      <c r="F18" s="89"/>
      <c r="G18" s="90"/>
      <c r="H18" s="90"/>
      <c r="I18" s="90"/>
      <c r="J18" s="90"/>
      <c r="K18" s="90"/>
      <c r="L18" s="94"/>
      <c r="M18" s="94"/>
      <c r="N18" s="94"/>
      <c r="O18" s="89" t="s">
        <v>31</v>
      </c>
      <c r="P18" s="89"/>
      <c r="Q18" s="92"/>
      <c r="R18" s="92"/>
      <c r="S18" s="92"/>
      <c r="T18" s="92"/>
      <c r="U18" s="92"/>
      <c r="V18" s="12" t="str">
        <f>IF(AE17="","⇒","⇔")</f>
        <v>⇒</v>
      </c>
      <c r="W18" s="93"/>
      <c r="X18" s="93"/>
      <c r="Y18" s="93"/>
      <c r="Z18" s="93"/>
      <c r="AA18" s="93"/>
      <c r="AB18" s="104"/>
      <c r="AC18" s="104"/>
      <c r="AD18" s="104"/>
      <c r="AE18" s="94"/>
      <c r="AF18" s="94"/>
      <c r="AG18" s="95"/>
      <c r="AH18" s="95"/>
      <c r="AI18" s="95"/>
      <c r="AJ18" s="95"/>
      <c r="AK18" s="94"/>
      <c r="AL18" s="94"/>
      <c r="AM18" s="94"/>
      <c r="AU18" s="86"/>
      <c r="AV18" s="86"/>
      <c r="AW18" s="86"/>
      <c r="AX18" s="96"/>
      <c r="AY18" s="96"/>
      <c r="AZ18" s="86"/>
      <c r="BA18" s="86"/>
      <c r="BB18" s="87"/>
      <c r="BC18" s="88"/>
      <c r="BD18" s="88"/>
      <c r="BE18" s="88"/>
    </row>
    <row r="19" spans="2:57" ht="14.25" customHeight="1" x14ac:dyDescent="0.15">
      <c r="B19" s="97"/>
      <c r="C19" s="97"/>
      <c r="D19" s="97"/>
      <c r="E19" s="98" t="s">
        <v>20</v>
      </c>
      <c r="F19" s="98"/>
      <c r="G19" s="99"/>
      <c r="H19" s="99"/>
      <c r="I19" s="99"/>
      <c r="J19" s="99"/>
      <c r="K19" s="99"/>
      <c r="L19" s="94"/>
      <c r="M19" s="94"/>
      <c r="N19" s="94"/>
      <c r="O19" s="98" t="s">
        <v>23</v>
      </c>
      <c r="P19" s="98"/>
      <c r="Q19" s="125"/>
      <c r="R19" s="125"/>
      <c r="S19" s="125"/>
      <c r="T19" s="9" t="str">
        <f>IF(AE19="","⇒","⇔")</f>
        <v>⇒</v>
      </c>
      <c r="U19" s="126"/>
      <c r="V19" s="126"/>
      <c r="W19" s="126"/>
      <c r="X19" s="9" t="str">
        <f>IF(AE19="","⇒","⇔")</f>
        <v>⇒</v>
      </c>
      <c r="Y19" s="127"/>
      <c r="Z19" s="127"/>
      <c r="AA19" s="127"/>
      <c r="AB19" s="104"/>
      <c r="AC19" s="104"/>
      <c r="AD19" s="104"/>
      <c r="AE19" s="94"/>
      <c r="AF19" s="94"/>
      <c r="AG19" s="95">
        <f>IF(AND(L19="電車・バス", AE19="●"), AB19*2, IF(OR(L19="電車・バス",L19= "タクシー"), AB19, 0))</f>
        <v>0</v>
      </c>
      <c r="AH19" s="95"/>
      <c r="AI19" s="95"/>
      <c r="AJ19" s="95"/>
      <c r="AK19" s="94"/>
      <c r="AL19" s="94"/>
      <c r="AM19" s="94"/>
      <c r="AU19" s="86"/>
      <c r="AV19" s="86"/>
      <c r="AW19" s="86"/>
      <c r="AX19" s="96"/>
      <c r="AY19" s="96"/>
      <c r="AZ19" s="86"/>
      <c r="BA19" s="86"/>
      <c r="BB19" s="87"/>
      <c r="BC19" s="88"/>
      <c r="BD19" s="88"/>
      <c r="BE19" s="88"/>
    </row>
    <row r="20" spans="2:57" ht="14.25" customHeight="1" x14ac:dyDescent="0.15">
      <c r="B20" s="97"/>
      <c r="C20" s="97"/>
      <c r="D20" s="97"/>
      <c r="E20" s="89" t="s">
        <v>29</v>
      </c>
      <c r="F20" s="89"/>
      <c r="G20" s="90"/>
      <c r="H20" s="90"/>
      <c r="I20" s="90"/>
      <c r="J20" s="90"/>
      <c r="K20" s="90"/>
      <c r="L20" s="94"/>
      <c r="M20" s="94"/>
      <c r="N20" s="94"/>
      <c r="O20" s="89" t="s">
        <v>31</v>
      </c>
      <c r="P20" s="89"/>
      <c r="Q20" s="92"/>
      <c r="R20" s="92"/>
      <c r="S20" s="92"/>
      <c r="T20" s="92"/>
      <c r="U20" s="92"/>
      <c r="V20" s="12" t="str">
        <f>IF(AE19="","⇒","⇔")</f>
        <v>⇒</v>
      </c>
      <c r="W20" s="93"/>
      <c r="X20" s="93"/>
      <c r="Y20" s="93"/>
      <c r="Z20" s="93"/>
      <c r="AA20" s="93"/>
      <c r="AB20" s="104"/>
      <c r="AC20" s="104"/>
      <c r="AD20" s="104"/>
      <c r="AE20" s="94"/>
      <c r="AF20" s="94"/>
      <c r="AG20" s="95"/>
      <c r="AH20" s="95"/>
      <c r="AI20" s="95"/>
      <c r="AJ20" s="95"/>
      <c r="AK20" s="94"/>
      <c r="AL20" s="94"/>
      <c r="AM20" s="94"/>
      <c r="AU20" s="86"/>
      <c r="AV20" s="86"/>
      <c r="AW20" s="86"/>
      <c r="AX20" s="96"/>
      <c r="AY20" s="96"/>
      <c r="AZ20" s="86"/>
      <c r="BA20" s="86"/>
      <c r="BB20" s="87"/>
      <c r="BC20" s="88"/>
      <c r="BD20" s="88"/>
      <c r="BE20" s="88"/>
    </row>
    <row r="21" spans="2:57" ht="14.25" customHeight="1" x14ac:dyDescent="0.15">
      <c r="B21" s="97"/>
      <c r="C21" s="97"/>
      <c r="D21" s="97"/>
      <c r="E21" s="98" t="s">
        <v>20</v>
      </c>
      <c r="F21" s="98"/>
      <c r="G21" s="99"/>
      <c r="H21" s="99"/>
      <c r="I21" s="99"/>
      <c r="J21" s="99"/>
      <c r="K21" s="99"/>
      <c r="L21" s="94"/>
      <c r="M21" s="94"/>
      <c r="N21" s="94"/>
      <c r="O21" s="98" t="s">
        <v>23</v>
      </c>
      <c r="P21" s="98"/>
      <c r="Q21" s="125"/>
      <c r="R21" s="125"/>
      <c r="S21" s="125"/>
      <c r="T21" s="9" t="str">
        <f>IF(AE21="","⇒","⇔")</f>
        <v>⇒</v>
      </c>
      <c r="U21" s="126"/>
      <c r="V21" s="126"/>
      <c r="W21" s="126"/>
      <c r="X21" s="9" t="str">
        <f>IF(AE21="","⇒","⇔")</f>
        <v>⇒</v>
      </c>
      <c r="Y21" s="127"/>
      <c r="Z21" s="127"/>
      <c r="AA21" s="127"/>
      <c r="AB21" s="104"/>
      <c r="AC21" s="104"/>
      <c r="AD21" s="104"/>
      <c r="AE21" s="94"/>
      <c r="AF21" s="94"/>
      <c r="AG21" s="95">
        <f>IF(AND(L21="電車・バス", AE21="●"), AB21*2, IF(OR(L21="電車・バス",L21= "タクシー"), AB21, 0))</f>
        <v>0</v>
      </c>
      <c r="AH21" s="95"/>
      <c r="AI21" s="95"/>
      <c r="AJ21" s="95"/>
      <c r="AK21" s="94"/>
      <c r="AL21" s="94"/>
      <c r="AM21" s="94"/>
      <c r="AU21" s="86"/>
      <c r="AV21" s="86"/>
      <c r="AW21" s="86"/>
      <c r="AX21" s="96"/>
      <c r="AY21" s="96"/>
      <c r="AZ21" s="86"/>
      <c r="BA21" s="86"/>
      <c r="BB21" s="87"/>
      <c r="BC21" s="88"/>
      <c r="BD21" s="88"/>
      <c r="BE21" s="88"/>
    </row>
    <row r="22" spans="2:57" ht="14.25" customHeight="1" x14ac:dyDescent="0.15">
      <c r="B22" s="97"/>
      <c r="C22" s="97"/>
      <c r="D22" s="97"/>
      <c r="E22" s="89" t="s">
        <v>29</v>
      </c>
      <c r="F22" s="89"/>
      <c r="G22" s="90"/>
      <c r="H22" s="90"/>
      <c r="I22" s="90"/>
      <c r="J22" s="90"/>
      <c r="K22" s="90"/>
      <c r="L22" s="94"/>
      <c r="M22" s="94"/>
      <c r="N22" s="94"/>
      <c r="O22" s="89" t="s">
        <v>31</v>
      </c>
      <c r="P22" s="89"/>
      <c r="Q22" s="92"/>
      <c r="R22" s="92"/>
      <c r="S22" s="92"/>
      <c r="T22" s="92"/>
      <c r="U22" s="92"/>
      <c r="V22" s="12" t="str">
        <f>IF(AE21="","⇒","⇔")</f>
        <v>⇒</v>
      </c>
      <c r="W22" s="93"/>
      <c r="X22" s="93"/>
      <c r="Y22" s="93"/>
      <c r="Z22" s="93"/>
      <c r="AA22" s="93"/>
      <c r="AB22" s="104"/>
      <c r="AC22" s="104"/>
      <c r="AD22" s="104"/>
      <c r="AE22" s="94"/>
      <c r="AF22" s="94"/>
      <c r="AG22" s="95"/>
      <c r="AH22" s="95"/>
      <c r="AI22" s="95"/>
      <c r="AJ22" s="95"/>
      <c r="AK22" s="94"/>
      <c r="AL22" s="94"/>
      <c r="AM22" s="94"/>
      <c r="AU22" s="86"/>
      <c r="AV22" s="86"/>
      <c r="AW22" s="86"/>
      <c r="AX22" s="96"/>
      <c r="AY22" s="96"/>
      <c r="AZ22" s="86"/>
      <c r="BA22" s="86"/>
      <c r="BB22" s="87"/>
      <c r="BC22" s="88"/>
      <c r="BD22" s="88"/>
      <c r="BE22" s="88"/>
    </row>
    <row r="23" spans="2:57" ht="14.25" customHeight="1" x14ac:dyDescent="0.15">
      <c r="B23" s="97"/>
      <c r="C23" s="97"/>
      <c r="D23" s="97"/>
      <c r="E23" s="98" t="s">
        <v>20</v>
      </c>
      <c r="F23" s="98"/>
      <c r="G23" s="99"/>
      <c r="H23" s="99"/>
      <c r="I23" s="99"/>
      <c r="J23" s="99"/>
      <c r="K23" s="99"/>
      <c r="L23" s="94"/>
      <c r="M23" s="94"/>
      <c r="N23" s="94"/>
      <c r="O23" s="98" t="s">
        <v>23</v>
      </c>
      <c r="P23" s="98"/>
      <c r="Q23" s="125"/>
      <c r="R23" s="125"/>
      <c r="S23" s="125"/>
      <c r="T23" s="9" t="str">
        <f>IF(AE23="","⇒","⇔")</f>
        <v>⇒</v>
      </c>
      <c r="U23" s="126"/>
      <c r="V23" s="126"/>
      <c r="W23" s="126"/>
      <c r="X23" s="9" t="str">
        <f>IF(AE23="","⇒","⇔")</f>
        <v>⇒</v>
      </c>
      <c r="Y23" s="127"/>
      <c r="Z23" s="127"/>
      <c r="AA23" s="127"/>
      <c r="AB23" s="104"/>
      <c r="AC23" s="104"/>
      <c r="AD23" s="104"/>
      <c r="AE23" s="94"/>
      <c r="AF23" s="94"/>
      <c r="AG23" s="95">
        <f>IF(AND(L23="電車・バス", AE23="●"), AB23*2, IF(OR(L23="電車・バス",L23= "タクシー"), AB23, 0))</f>
        <v>0</v>
      </c>
      <c r="AH23" s="95"/>
      <c r="AI23" s="95"/>
      <c r="AJ23" s="95"/>
      <c r="AK23" s="94"/>
      <c r="AL23" s="94"/>
      <c r="AM23" s="94"/>
      <c r="AU23" s="86"/>
      <c r="AV23" s="86"/>
      <c r="AW23" s="86"/>
      <c r="AX23" s="96"/>
      <c r="AY23" s="96"/>
      <c r="AZ23" s="86"/>
      <c r="BA23" s="86"/>
      <c r="BB23" s="87"/>
      <c r="BC23" s="88"/>
      <c r="BD23" s="88"/>
      <c r="BE23" s="88"/>
    </row>
    <row r="24" spans="2:57" ht="14.25" customHeight="1" x14ac:dyDescent="0.15">
      <c r="B24" s="97"/>
      <c r="C24" s="97"/>
      <c r="D24" s="97"/>
      <c r="E24" s="89" t="s">
        <v>29</v>
      </c>
      <c r="F24" s="89"/>
      <c r="G24" s="90"/>
      <c r="H24" s="90"/>
      <c r="I24" s="90"/>
      <c r="J24" s="90"/>
      <c r="K24" s="90"/>
      <c r="L24" s="94"/>
      <c r="M24" s="94"/>
      <c r="N24" s="94"/>
      <c r="O24" s="89" t="s">
        <v>31</v>
      </c>
      <c r="P24" s="89"/>
      <c r="Q24" s="92"/>
      <c r="R24" s="92"/>
      <c r="S24" s="92"/>
      <c r="T24" s="92"/>
      <c r="U24" s="92"/>
      <c r="V24" s="12" t="str">
        <f>IF(AE23="","⇒","⇔")</f>
        <v>⇒</v>
      </c>
      <c r="W24" s="93"/>
      <c r="X24" s="93"/>
      <c r="Y24" s="93"/>
      <c r="Z24" s="93"/>
      <c r="AA24" s="93"/>
      <c r="AB24" s="104"/>
      <c r="AC24" s="104"/>
      <c r="AD24" s="104"/>
      <c r="AE24" s="94"/>
      <c r="AF24" s="94"/>
      <c r="AG24" s="95"/>
      <c r="AH24" s="95"/>
      <c r="AI24" s="95"/>
      <c r="AJ24" s="95"/>
      <c r="AK24" s="94"/>
      <c r="AL24" s="94"/>
      <c r="AM24" s="94"/>
      <c r="AU24" s="86"/>
      <c r="AV24" s="86"/>
      <c r="AW24" s="86"/>
      <c r="AX24" s="96"/>
      <c r="AY24" s="96"/>
      <c r="AZ24" s="86"/>
      <c r="BA24" s="86"/>
      <c r="BB24" s="87"/>
      <c r="BC24" s="88"/>
      <c r="BD24" s="88"/>
      <c r="BE24" s="88"/>
    </row>
    <row r="25" spans="2:57" ht="14.25" customHeight="1" x14ac:dyDescent="0.15">
      <c r="B25" s="97"/>
      <c r="C25" s="97"/>
      <c r="D25" s="97"/>
      <c r="E25" s="98" t="s">
        <v>20</v>
      </c>
      <c r="F25" s="98"/>
      <c r="G25" s="99"/>
      <c r="H25" s="99"/>
      <c r="I25" s="99"/>
      <c r="J25" s="99"/>
      <c r="K25" s="99"/>
      <c r="L25" s="94"/>
      <c r="M25" s="94"/>
      <c r="N25" s="94"/>
      <c r="O25" s="98" t="s">
        <v>23</v>
      </c>
      <c r="P25" s="98"/>
      <c r="Q25" s="125"/>
      <c r="R25" s="125"/>
      <c r="S25" s="125"/>
      <c r="T25" s="9" t="str">
        <f>IF(AE25="","⇒","⇔")</f>
        <v>⇒</v>
      </c>
      <c r="U25" s="126"/>
      <c r="V25" s="126"/>
      <c r="W25" s="126"/>
      <c r="X25" s="9" t="str">
        <f>IF(AE25="","⇒","⇔")</f>
        <v>⇒</v>
      </c>
      <c r="Y25" s="127"/>
      <c r="Z25" s="127"/>
      <c r="AA25" s="127"/>
      <c r="AB25" s="104"/>
      <c r="AC25" s="104"/>
      <c r="AD25" s="104"/>
      <c r="AE25" s="94"/>
      <c r="AF25" s="94"/>
      <c r="AG25" s="95">
        <f>IF(AND(L25="電車・バス", AE25="●"), AB25*2, IF(OR(L25="電車・バス",L25= "タクシー"), AB25, 0))</f>
        <v>0</v>
      </c>
      <c r="AH25" s="95"/>
      <c r="AI25" s="95"/>
      <c r="AJ25" s="95"/>
      <c r="AK25" s="94"/>
      <c r="AL25" s="94"/>
      <c r="AM25" s="94"/>
      <c r="AU25" s="86"/>
      <c r="AV25" s="86"/>
      <c r="AW25" s="86"/>
      <c r="AX25" s="96"/>
      <c r="AY25" s="96"/>
      <c r="AZ25" s="86"/>
      <c r="BA25" s="86"/>
      <c r="BB25" s="87"/>
      <c r="BC25" s="88"/>
      <c r="BD25" s="88"/>
      <c r="BE25" s="88"/>
    </row>
    <row r="26" spans="2:57" ht="14.25" customHeight="1" x14ac:dyDescent="0.15">
      <c r="B26" s="97"/>
      <c r="C26" s="97"/>
      <c r="D26" s="97"/>
      <c r="E26" s="89" t="s">
        <v>29</v>
      </c>
      <c r="F26" s="89"/>
      <c r="G26" s="90"/>
      <c r="H26" s="90"/>
      <c r="I26" s="90"/>
      <c r="J26" s="90"/>
      <c r="K26" s="90"/>
      <c r="L26" s="94"/>
      <c r="M26" s="94"/>
      <c r="N26" s="94"/>
      <c r="O26" s="89" t="s">
        <v>31</v>
      </c>
      <c r="P26" s="89"/>
      <c r="Q26" s="92"/>
      <c r="R26" s="92"/>
      <c r="S26" s="92"/>
      <c r="T26" s="92"/>
      <c r="U26" s="92"/>
      <c r="V26" s="12" t="str">
        <f>IF(AE25="","⇒","⇔")</f>
        <v>⇒</v>
      </c>
      <c r="W26" s="93"/>
      <c r="X26" s="93"/>
      <c r="Y26" s="93"/>
      <c r="Z26" s="93"/>
      <c r="AA26" s="93"/>
      <c r="AB26" s="104"/>
      <c r="AC26" s="104"/>
      <c r="AD26" s="104"/>
      <c r="AE26" s="94"/>
      <c r="AF26" s="94"/>
      <c r="AG26" s="95"/>
      <c r="AH26" s="95"/>
      <c r="AI26" s="95"/>
      <c r="AJ26" s="95"/>
      <c r="AK26" s="94"/>
      <c r="AL26" s="94"/>
      <c r="AM26" s="94"/>
      <c r="AU26" s="86"/>
      <c r="AV26" s="86"/>
      <c r="AW26" s="86"/>
      <c r="AX26" s="96"/>
      <c r="AY26" s="96"/>
      <c r="AZ26" s="86"/>
      <c r="BA26" s="86"/>
      <c r="BB26" s="87"/>
      <c r="BC26" s="88"/>
      <c r="BD26" s="88"/>
      <c r="BE26" s="88"/>
    </row>
    <row r="27" spans="2:57" ht="14.25" customHeight="1" x14ac:dyDescent="0.15">
      <c r="B27" s="97"/>
      <c r="C27" s="97"/>
      <c r="D27" s="97"/>
      <c r="E27" s="98" t="s">
        <v>20</v>
      </c>
      <c r="F27" s="98"/>
      <c r="G27" s="99"/>
      <c r="H27" s="99"/>
      <c r="I27" s="99"/>
      <c r="J27" s="99"/>
      <c r="K27" s="99"/>
      <c r="L27" s="94"/>
      <c r="M27" s="94"/>
      <c r="N27" s="94"/>
      <c r="O27" s="98" t="s">
        <v>23</v>
      </c>
      <c r="P27" s="98"/>
      <c r="Q27" s="125"/>
      <c r="R27" s="125"/>
      <c r="S27" s="125"/>
      <c r="T27" s="9" t="str">
        <f>IF(AE27="","⇒","⇔")</f>
        <v>⇒</v>
      </c>
      <c r="U27" s="126"/>
      <c r="V27" s="126"/>
      <c r="W27" s="126"/>
      <c r="X27" s="9" t="str">
        <f>IF(AE27="","⇒","⇔")</f>
        <v>⇒</v>
      </c>
      <c r="Y27" s="127"/>
      <c r="Z27" s="127"/>
      <c r="AA27" s="127"/>
      <c r="AB27" s="104"/>
      <c r="AC27" s="104"/>
      <c r="AD27" s="104"/>
      <c r="AE27" s="94"/>
      <c r="AF27" s="94"/>
      <c r="AG27" s="95">
        <f>IF(AND(L27="電車・バス", AE27="●"), AB27*2, IF(OR(L27="電車・バス",L27= "タクシー"), AB27, 0))</f>
        <v>0</v>
      </c>
      <c r="AH27" s="95"/>
      <c r="AI27" s="95"/>
      <c r="AJ27" s="95"/>
      <c r="AK27" s="94"/>
      <c r="AL27" s="94"/>
      <c r="AM27" s="94"/>
      <c r="AU27" s="86"/>
      <c r="AV27" s="86"/>
      <c r="AW27" s="86"/>
      <c r="AX27" s="96"/>
      <c r="AY27" s="96"/>
      <c r="AZ27" s="86"/>
      <c r="BA27" s="86"/>
      <c r="BB27" s="87"/>
      <c r="BC27" s="88"/>
      <c r="BD27" s="88"/>
      <c r="BE27" s="88"/>
    </row>
    <row r="28" spans="2:57" ht="14.25" customHeight="1" x14ac:dyDescent="0.15">
      <c r="B28" s="97"/>
      <c r="C28" s="97"/>
      <c r="D28" s="97"/>
      <c r="E28" s="89" t="s">
        <v>29</v>
      </c>
      <c r="F28" s="89"/>
      <c r="G28" s="90"/>
      <c r="H28" s="90"/>
      <c r="I28" s="90"/>
      <c r="J28" s="90"/>
      <c r="K28" s="90"/>
      <c r="L28" s="94"/>
      <c r="M28" s="94"/>
      <c r="N28" s="94"/>
      <c r="O28" s="89" t="s">
        <v>31</v>
      </c>
      <c r="P28" s="89"/>
      <c r="Q28" s="92"/>
      <c r="R28" s="92"/>
      <c r="S28" s="92"/>
      <c r="T28" s="92"/>
      <c r="U28" s="92"/>
      <c r="V28" s="12" t="str">
        <f>IF(AE27="","⇒","⇔")</f>
        <v>⇒</v>
      </c>
      <c r="W28" s="93"/>
      <c r="X28" s="93"/>
      <c r="Y28" s="93"/>
      <c r="Z28" s="93"/>
      <c r="AA28" s="93"/>
      <c r="AB28" s="104"/>
      <c r="AC28" s="104"/>
      <c r="AD28" s="104"/>
      <c r="AE28" s="94"/>
      <c r="AF28" s="94"/>
      <c r="AG28" s="95"/>
      <c r="AH28" s="95"/>
      <c r="AI28" s="95"/>
      <c r="AJ28" s="95"/>
      <c r="AK28" s="94"/>
      <c r="AL28" s="94"/>
      <c r="AM28" s="94"/>
      <c r="AU28" s="86"/>
      <c r="AV28" s="86"/>
      <c r="AW28" s="86"/>
      <c r="AX28" s="96"/>
      <c r="AY28" s="96"/>
      <c r="AZ28" s="86"/>
      <c r="BA28" s="86"/>
      <c r="BB28" s="87"/>
      <c r="BC28" s="88"/>
      <c r="BD28" s="88"/>
      <c r="BE28" s="88"/>
    </row>
    <row r="29" spans="2:57" ht="14.25" customHeight="1" x14ac:dyDescent="0.15">
      <c r="B29" s="97"/>
      <c r="C29" s="97"/>
      <c r="D29" s="97"/>
      <c r="E29" s="98" t="s">
        <v>20</v>
      </c>
      <c r="F29" s="98"/>
      <c r="G29" s="99"/>
      <c r="H29" s="99"/>
      <c r="I29" s="99"/>
      <c r="J29" s="99"/>
      <c r="K29" s="99"/>
      <c r="L29" s="94"/>
      <c r="M29" s="94"/>
      <c r="N29" s="94"/>
      <c r="O29" s="98" t="s">
        <v>23</v>
      </c>
      <c r="P29" s="98"/>
      <c r="Q29" s="125"/>
      <c r="R29" s="125"/>
      <c r="S29" s="125"/>
      <c r="T29" s="9" t="str">
        <f>IF(AE29="","⇒","⇔")</f>
        <v>⇒</v>
      </c>
      <c r="U29" s="126"/>
      <c r="V29" s="126"/>
      <c r="W29" s="126"/>
      <c r="X29" s="9" t="str">
        <f>IF(AE29="","⇒","⇔")</f>
        <v>⇒</v>
      </c>
      <c r="Y29" s="127"/>
      <c r="Z29" s="127"/>
      <c r="AA29" s="127"/>
      <c r="AB29" s="104"/>
      <c r="AC29" s="104"/>
      <c r="AD29" s="104"/>
      <c r="AE29" s="94"/>
      <c r="AF29" s="94"/>
      <c r="AG29" s="95">
        <f>IF(AND(L29="電車・バス", AE29="●"), AB29*2, IF(OR(L29="電車・バス",L29= "タクシー"), AB29, 0))</f>
        <v>0</v>
      </c>
      <c r="AH29" s="95"/>
      <c r="AI29" s="95"/>
      <c r="AJ29" s="95"/>
      <c r="AK29" s="94"/>
      <c r="AL29" s="94"/>
      <c r="AM29" s="94"/>
      <c r="AU29" s="86"/>
      <c r="AV29" s="86"/>
      <c r="AW29" s="86"/>
      <c r="AX29" s="96"/>
      <c r="AY29" s="96"/>
      <c r="AZ29" s="86"/>
      <c r="BA29" s="86"/>
      <c r="BB29" s="87"/>
      <c r="BC29" s="88"/>
      <c r="BD29" s="88"/>
      <c r="BE29" s="88"/>
    </row>
    <row r="30" spans="2:57" ht="14.25" customHeight="1" x14ac:dyDescent="0.15">
      <c r="B30" s="97"/>
      <c r="C30" s="97"/>
      <c r="D30" s="97"/>
      <c r="E30" s="89" t="s">
        <v>29</v>
      </c>
      <c r="F30" s="89"/>
      <c r="G30" s="90"/>
      <c r="H30" s="90"/>
      <c r="I30" s="90"/>
      <c r="J30" s="90"/>
      <c r="K30" s="90"/>
      <c r="L30" s="94"/>
      <c r="M30" s="94"/>
      <c r="N30" s="94"/>
      <c r="O30" s="89" t="s">
        <v>31</v>
      </c>
      <c r="P30" s="89"/>
      <c r="Q30" s="92"/>
      <c r="R30" s="92"/>
      <c r="S30" s="92"/>
      <c r="T30" s="92"/>
      <c r="U30" s="92"/>
      <c r="V30" s="12" t="str">
        <f>IF(AE29="","⇒","⇔")</f>
        <v>⇒</v>
      </c>
      <c r="W30" s="93"/>
      <c r="X30" s="93"/>
      <c r="Y30" s="93"/>
      <c r="Z30" s="93"/>
      <c r="AA30" s="93"/>
      <c r="AB30" s="104"/>
      <c r="AC30" s="104"/>
      <c r="AD30" s="104"/>
      <c r="AE30" s="94"/>
      <c r="AF30" s="94"/>
      <c r="AG30" s="95"/>
      <c r="AH30" s="95"/>
      <c r="AI30" s="95"/>
      <c r="AJ30" s="95"/>
      <c r="AK30" s="94"/>
      <c r="AL30" s="94"/>
      <c r="AM30" s="94"/>
      <c r="AU30" s="86"/>
      <c r="AV30" s="86"/>
      <c r="AW30" s="86"/>
      <c r="AX30" s="96"/>
      <c r="AY30" s="96"/>
      <c r="AZ30" s="86"/>
      <c r="BA30" s="86"/>
      <c r="BB30" s="87"/>
      <c r="BC30" s="88"/>
      <c r="BD30" s="88"/>
      <c r="BE30" s="88"/>
    </row>
    <row r="31" spans="2:57" ht="14.25" customHeight="1" x14ac:dyDescent="0.15">
      <c r="B31" s="97"/>
      <c r="C31" s="97"/>
      <c r="D31" s="97"/>
      <c r="E31" s="98" t="s">
        <v>20</v>
      </c>
      <c r="F31" s="98"/>
      <c r="G31" s="99"/>
      <c r="H31" s="99"/>
      <c r="I31" s="99"/>
      <c r="J31" s="99"/>
      <c r="K31" s="99"/>
      <c r="L31" s="94"/>
      <c r="M31" s="94"/>
      <c r="N31" s="94"/>
      <c r="O31" s="98" t="s">
        <v>23</v>
      </c>
      <c r="P31" s="98"/>
      <c r="Q31" s="125"/>
      <c r="R31" s="125"/>
      <c r="S31" s="125"/>
      <c r="T31" s="9" t="str">
        <f>IF(AE31="","⇒","⇔")</f>
        <v>⇒</v>
      </c>
      <c r="U31" s="126"/>
      <c r="V31" s="126"/>
      <c r="W31" s="126"/>
      <c r="X31" s="9" t="str">
        <f>IF(AE31="","⇒","⇔")</f>
        <v>⇒</v>
      </c>
      <c r="Y31" s="127"/>
      <c r="Z31" s="127"/>
      <c r="AA31" s="127"/>
      <c r="AB31" s="104"/>
      <c r="AC31" s="104"/>
      <c r="AD31" s="104"/>
      <c r="AE31" s="94"/>
      <c r="AF31" s="94"/>
      <c r="AG31" s="95">
        <f>IF(AND(L31="電車・バス", AE31="●"), AB31*2, IF(OR(L31="電車・バス",L31= "タクシー"), AB31, 0))</f>
        <v>0</v>
      </c>
      <c r="AH31" s="95"/>
      <c r="AI31" s="95"/>
      <c r="AJ31" s="95"/>
      <c r="AK31" s="94"/>
      <c r="AL31" s="94"/>
      <c r="AM31" s="94"/>
      <c r="AU31" s="86"/>
      <c r="AV31" s="86"/>
      <c r="AW31" s="86"/>
      <c r="AX31" s="96"/>
      <c r="AY31" s="96"/>
      <c r="AZ31" s="86"/>
      <c r="BA31" s="86"/>
      <c r="BB31" s="87"/>
      <c r="BC31" s="88"/>
      <c r="BD31" s="88"/>
      <c r="BE31" s="88"/>
    </row>
    <row r="32" spans="2:57" ht="14.25" customHeight="1" x14ac:dyDescent="0.15">
      <c r="B32" s="97"/>
      <c r="C32" s="97"/>
      <c r="D32" s="97"/>
      <c r="E32" s="89" t="s">
        <v>29</v>
      </c>
      <c r="F32" s="89"/>
      <c r="G32" s="90"/>
      <c r="H32" s="90"/>
      <c r="I32" s="90"/>
      <c r="J32" s="90"/>
      <c r="K32" s="90"/>
      <c r="L32" s="94"/>
      <c r="M32" s="94"/>
      <c r="N32" s="94"/>
      <c r="O32" s="89" t="s">
        <v>31</v>
      </c>
      <c r="P32" s="89"/>
      <c r="Q32" s="92"/>
      <c r="R32" s="92"/>
      <c r="S32" s="92"/>
      <c r="T32" s="92"/>
      <c r="U32" s="92"/>
      <c r="V32" s="12" t="str">
        <f>IF(AE31="","⇒","⇔")</f>
        <v>⇒</v>
      </c>
      <c r="W32" s="93"/>
      <c r="X32" s="93"/>
      <c r="Y32" s="93"/>
      <c r="Z32" s="93"/>
      <c r="AA32" s="93"/>
      <c r="AB32" s="104"/>
      <c r="AC32" s="104"/>
      <c r="AD32" s="104"/>
      <c r="AE32" s="94"/>
      <c r="AF32" s="94"/>
      <c r="AG32" s="95"/>
      <c r="AH32" s="95"/>
      <c r="AI32" s="95"/>
      <c r="AJ32" s="95"/>
      <c r="AK32" s="94"/>
      <c r="AL32" s="94"/>
      <c r="AM32" s="94"/>
      <c r="AU32" s="86"/>
      <c r="AV32" s="86"/>
      <c r="AW32" s="86"/>
      <c r="AX32" s="96"/>
      <c r="AY32" s="96"/>
      <c r="AZ32" s="86"/>
      <c r="BA32" s="86"/>
      <c r="BB32" s="87"/>
      <c r="BC32" s="88"/>
      <c r="BD32" s="88"/>
      <c r="BE32" s="88"/>
    </row>
    <row r="33" spans="2:57" ht="14.25" customHeight="1" x14ac:dyDescent="0.15">
      <c r="B33" s="97"/>
      <c r="C33" s="97"/>
      <c r="D33" s="97"/>
      <c r="E33" s="98" t="s">
        <v>20</v>
      </c>
      <c r="F33" s="98"/>
      <c r="G33" s="99"/>
      <c r="H33" s="99"/>
      <c r="I33" s="99"/>
      <c r="J33" s="99"/>
      <c r="K33" s="99"/>
      <c r="L33" s="94"/>
      <c r="M33" s="94"/>
      <c r="N33" s="94"/>
      <c r="O33" s="98" t="s">
        <v>23</v>
      </c>
      <c r="P33" s="98"/>
      <c r="Q33" s="125"/>
      <c r="R33" s="125"/>
      <c r="S33" s="125"/>
      <c r="T33" s="9" t="str">
        <f>IF(AE33="","⇒","⇔")</f>
        <v>⇒</v>
      </c>
      <c r="U33" s="126"/>
      <c r="V33" s="126"/>
      <c r="W33" s="126"/>
      <c r="X33" s="9" t="str">
        <f>IF(AE33="","⇒","⇔")</f>
        <v>⇒</v>
      </c>
      <c r="Y33" s="127"/>
      <c r="Z33" s="127"/>
      <c r="AA33" s="127"/>
      <c r="AB33" s="104"/>
      <c r="AC33" s="104"/>
      <c r="AD33" s="104"/>
      <c r="AE33" s="94"/>
      <c r="AF33" s="94"/>
      <c r="AG33" s="95">
        <f>IF(AND(L33="電車・バス", AE33="●"), AB33*2, IF(OR(L33="電車・バス",L33= "タクシー"), AB33, 0))</f>
        <v>0</v>
      </c>
      <c r="AH33" s="95"/>
      <c r="AI33" s="95"/>
      <c r="AJ33" s="95"/>
      <c r="AK33" s="94"/>
      <c r="AL33" s="94"/>
      <c r="AM33" s="94"/>
      <c r="AU33" s="86"/>
      <c r="AV33" s="86"/>
      <c r="AW33" s="86"/>
      <c r="AX33" s="96"/>
      <c r="AY33" s="96"/>
      <c r="AZ33" s="86"/>
      <c r="BA33" s="86"/>
      <c r="BB33" s="87"/>
      <c r="BC33" s="88"/>
      <c r="BD33" s="88"/>
      <c r="BE33" s="88"/>
    </row>
    <row r="34" spans="2:57" ht="14.25" customHeight="1" x14ac:dyDescent="0.15">
      <c r="B34" s="97"/>
      <c r="C34" s="97"/>
      <c r="D34" s="97"/>
      <c r="E34" s="89" t="s">
        <v>29</v>
      </c>
      <c r="F34" s="89"/>
      <c r="G34" s="90"/>
      <c r="H34" s="90"/>
      <c r="I34" s="90"/>
      <c r="J34" s="90"/>
      <c r="K34" s="90"/>
      <c r="L34" s="94"/>
      <c r="M34" s="94"/>
      <c r="N34" s="94"/>
      <c r="O34" s="89" t="s">
        <v>31</v>
      </c>
      <c r="P34" s="89"/>
      <c r="Q34" s="92"/>
      <c r="R34" s="92"/>
      <c r="S34" s="92"/>
      <c r="T34" s="92"/>
      <c r="U34" s="92"/>
      <c r="V34" s="12" t="str">
        <f>IF(AE33="","⇒","⇔")</f>
        <v>⇒</v>
      </c>
      <c r="W34" s="93"/>
      <c r="X34" s="93"/>
      <c r="Y34" s="93"/>
      <c r="Z34" s="93"/>
      <c r="AA34" s="93"/>
      <c r="AB34" s="104"/>
      <c r="AC34" s="104"/>
      <c r="AD34" s="104"/>
      <c r="AE34" s="94"/>
      <c r="AF34" s="94"/>
      <c r="AG34" s="95"/>
      <c r="AH34" s="95"/>
      <c r="AI34" s="95"/>
      <c r="AJ34" s="95"/>
      <c r="AK34" s="94"/>
      <c r="AL34" s="94"/>
      <c r="AM34" s="94"/>
      <c r="AU34" s="86"/>
      <c r="AV34" s="86"/>
      <c r="AW34" s="86"/>
      <c r="AX34" s="96"/>
      <c r="AY34" s="96"/>
      <c r="AZ34" s="86"/>
      <c r="BA34" s="86"/>
      <c r="BB34" s="87"/>
      <c r="BC34" s="88"/>
      <c r="BD34" s="88"/>
      <c r="BE34" s="88"/>
    </row>
    <row r="35" spans="2:57" ht="14.25" customHeight="1" x14ac:dyDescent="0.15">
      <c r="B35" s="97"/>
      <c r="C35" s="97"/>
      <c r="D35" s="97"/>
      <c r="E35" s="98" t="s">
        <v>20</v>
      </c>
      <c r="F35" s="98"/>
      <c r="G35" s="99"/>
      <c r="H35" s="99"/>
      <c r="I35" s="99"/>
      <c r="J35" s="99"/>
      <c r="K35" s="99"/>
      <c r="L35" s="94"/>
      <c r="M35" s="94"/>
      <c r="N35" s="94"/>
      <c r="O35" s="98" t="s">
        <v>23</v>
      </c>
      <c r="P35" s="98"/>
      <c r="Q35" s="125"/>
      <c r="R35" s="125"/>
      <c r="S35" s="125"/>
      <c r="T35" s="9" t="str">
        <f>IF(AE35="","⇒","⇔")</f>
        <v>⇒</v>
      </c>
      <c r="U35" s="126"/>
      <c r="V35" s="126"/>
      <c r="W35" s="126"/>
      <c r="X35" s="9" t="str">
        <f>IF(AE35="","⇒","⇔")</f>
        <v>⇒</v>
      </c>
      <c r="Y35" s="127"/>
      <c r="Z35" s="127"/>
      <c r="AA35" s="127"/>
      <c r="AB35" s="104"/>
      <c r="AC35" s="104"/>
      <c r="AD35" s="104"/>
      <c r="AE35" s="94"/>
      <c r="AF35" s="94"/>
      <c r="AG35" s="95">
        <f>IF(AND(L35="電車・バス", AE35="●"), AB35*2, IF(OR(L35="電車・バス",L35= "タクシー"), AB35, 0))</f>
        <v>0</v>
      </c>
      <c r="AH35" s="95"/>
      <c r="AI35" s="95"/>
      <c r="AJ35" s="95"/>
      <c r="AK35" s="94"/>
      <c r="AL35" s="94"/>
      <c r="AM35" s="94"/>
      <c r="AU35" s="86"/>
      <c r="AV35" s="86"/>
      <c r="AW35" s="86"/>
      <c r="AX35" s="96"/>
      <c r="AY35" s="96"/>
      <c r="AZ35" s="86"/>
      <c r="BA35" s="86"/>
      <c r="BB35" s="87"/>
      <c r="BC35" s="88"/>
      <c r="BD35" s="88"/>
      <c r="BE35" s="88"/>
    </row>
    <row r="36" spans="2:57" ht="14.25" customHeight="1" x14ac:dyDescent="0.15">
      <c r="B36" s="97"/>
      <c r="C36" s="97"/>
      <c r="D36" s="97"/>
      <c r="E36" s="89" t="s">
        <v>29</v>
      </c>
      <c r="F36" s="89"/>
      <c r="G36" s="90"/>
      <c r="H36" s="90"/>
      <c r="I36" s="90"/>
      <c r="J36" s="90"/>
      <c r="K36" s="90"/>
      <c r="L36" s="94"/>
      <c r="M36" s="94"/>
      <c r="N36" s="94"/>
      <c r="O36" s="89" t="s">
        <v>31</v>
      </c>
      <c r="P36" s="89"/>
      <c r="Q36" s="92"/>
      <c r="R36" s="92"/>
      <c r="S36" s="92"/>
      <c r="T36" s="92"/>
      <c r="U36" s="92"/>
      <c r="V36" s="12" t="str">
        <f>IF(AE35="","⇒","⇔")</f>
        <v>⇒</v>
      </c>
      <c r="W36" s="93"/>
      <c r="X36" s="93"/>
      <c r="Y36" s="93"/>
      <c r="Z36" s="93"/>
      <c r="AA36" s="93"/>
      <c r="AB36" s="104"/>
      <c r="AC36" s="104"/>
      <c r="AD36" s="104"/>
      <c r="AE36" s="94"/>
      <c r="AF36" s="94"/>
      <c r="AG36" s="95"/>
      <c r="AH36" s="95"/>
      <c r="AI36" s="95"/>
      <c r="AJ36" s="95"/>
      <c r="AK36" s="94"/>
      <c r="AL36" s="94"/>
      <c r="AM36" s="94"/>
      <c r="AU36" s="86"/>
      <c r="AV36" s="86"/>
      <c r="AW36" s="86"/>
      <c r="AX36" s="96"/>
      <c r="AY36" s="96"/>
      <c r="AZ36" s="86"/>
      <c r="BA36" s="86"/>
      <c r="BB36" s="87"/>
      <c r="BC36" s="88"/>
      <c r="BD36" s="88"/>
      <c r="BE36" s="88"/>
    </row>
    <row r="37" spans="2:57" ht="14.25" customHeight="1" x14ac:dyDescent="0.15">
      <c r="B37" s="97"/>
      <c r="C37" s="97"/>
      <c r="D37" s="97"/>
      <c r="E37" s="98" t="s">
        <v>20</v>
      </c>
      <c r="F37" s="98"/>
      <c r="G37" s="99"/>
      <c r="H37" s="99"/>
      <c r="I37" s="99"/>
      <c r="J37" s="99"/>
      <c r="K37" s="99"/>
      <c r="L37" s="94"/>
      <c r="M37" s="94"/>
      <c r="N37" s="94"/>
      <c r="O37" s="98" t="s">
        <v>23</v>
      </c>
      <c r="P37" s="98"/>
      <c r="Q37" s="125"/>
      <c r="R37" s="125"/>
      <c r="S37" s="125"/>
      <c r="T37" s="9" t="str">
        <f>IF(AE37="","⇒","⇔")</f>
        <v>⇒</v>
      </c>
      <c r="U37" s="126"/>
      <c r="V37" s="126"/>
      <c r="W37" s="126"/>
      <c r="X37" s="9" t="str">
        <f>IF(AE37="","⇒","⇔")</f>
        <v>⇒</v>
      </c>
      <c r="Y37" s="127"/>
      <c r="Z37" s="127"/>
      <c r="AA37" s="127"/>
      <c r="AB37" s="104"/>
      <c r="AC37" s="104"/>
      <c r="AD37" s="104"/>
      <c r="AE37" s="94"/>
      <c r="AF37" s="94"/>
      <c r="AG37" s="95">
        <f>IF(AND(L37="電車・バス", AE37="●"), AB37*2, IF(OR(L37="電車・バス",L37= "タクシー"), AB37, 0))</f>
        <v>0</v>
      </c>
      <c r="AH37" s="95"/>
      <c r="AI37" s="95"/>
      <c r="AJ37" s="95"/>
      <c r="AK37" s="94"/>
      <c r="AL37" s="94"/>
      <c r="AM37" s="94"/>
      <c r="AU37" s="86"/>
      <c r="AV37" s="86"/>
      <c r="AW37" s="86"/>
      <c r="AX37" s="96"/>
      <c r="AY37" s="96"/>
      <c r="AZ37" s="86"/>
      <c r="BA37" s="86"/>
      <c r="BB37" s="87"/>
      <c r="BC37" s="88"/>
      <c r="BD37" s="88"/>
      <c r="BE37" s="88"/>
    </row>
    <row r="38" spans="2:57" ht="14.25" customHeight="1" x14ac:dyDescent="0.15">
      <c r="B38" s="97"/>
      <c r="C38" s="97"/>
      <c r="D38" s="97"/>
      <c r="E38" s="89" t="s">
        <v>29</v>
      </c>
      <c r="F38" s="89"/>
      <c r="G38" s="90"/>
      <c r="H38" s="90"/>
      <c r="I38" s="90"/>
      <c r="J38" s="90"/>
      <c r="K38" s="90"/>
      <c r="L38" s="94"/>
      <c r="M38" s="94"/>
      <c r="N38" s="94"/>
      <c r="O38" s="89" t="s">
        <v>31</v>
      </c>
      <c r="P38" s="89"/>
      <c r="Q38" s="92"/>
      <c r="R38" s="92"/>
      <c r="S38" s="92"/>
      <c r="T38" s="92"/>
      <c r="U38" s="92"/>
      <c r="V38" s="12" t="str">
        <f>IF(AE37="","⇒","⇔")</f>
        <v>⇒</v>
      </c>
      <c r="W38" s="93"/>
      <c r="X38" s="93"/>
      <c r="Y38" s="93"/>
      <c r="Z38" s="93"/>
      <c r="AA38" s="93"/>
      <c r="AB38" s="104"/>
      <c r="AC38" s="104"/>
      <c r="AD38" s="104"/>
      <c r="AE38" s="94"/>
      <c r="AF38" s="94"/>
      <c r="AG38" s="95"/>
      <c r="AH38" s="95"/>
      <c r="AI38" s="95"/>
      <c r="AJ38" s="95"/>
      <c r="AK38" s="94"/>
      <c r="AL38" s="94"/>
      <c r="AM38" s="94"/>
      <c r="AU38" s="86"/>
      <c r="AV38" s="86"/>
      <c r="AW38" s="86"/>
      <c r="AX38" s="96"/>
      <c r="AY38" s="96"/>
      <c r="AZ38" s="86"/>
      <c r="BA38" s="86"/>
      <c r="BB38" s="87"/>
      <c r="BC38" s="88"/>
      <c r="BD38" s="88"/>
      <c r="BE38" s="88"/>
    </row>
    <row r="39" spans="2:57" ht="14.25" customHeight="1" x14ac:dyDescent="0.15">
      <c r="B39" s="97"/>
      <c r="C39" s="97"/>
      <c r="D39" s="97"/>
      <c r="E39" s="98" t="s">
        <v>20</v>
      </c>
      <c r="F39" s="98"/>
      <c r="G39" s="99"/>
      <c r="H39" s="99"/>
      <c r="I39" s="99"/>
      <c r="J39" s="99"/>
      <c r="K39" s="99"/>
      <c r="L39" s="94"/>
      <c r="M39" s="94"/>
      <c r="N39" s="94"/>
      <c r="O39" s="98" t="s">
        <v>23</v>
      </c>
      <c r="P39" s="98"/>
      <c r="Q39" s="125"/>
      <c r="R39" s="125"/>
      <c r="S39" s="125"/>
      <c r="T39" s="9" t="str">
        <f>IF(AE39="","⇒","⇔")</f>
        <v>⇒</v>
      </c>
      <c r="U39" s="126"/>
      <c r="V39" s="126"/>
      <c r="W39" s="126"/>
      <c r="X39" s="9" t="str">
        <f>IF(AE39="","⇒","⇔")</f>
        <v>⇒</v>
      </c>
      <c r="Y39" s="127"/>
      <c r="Z39" s="127"/>
      <c r="AA39" s="127"/>
      <c r="AB39" s="104"/>
      <c r="AC39" s="104"/>
      <c r="AD39" s="104"/>
      <c r="AE39" s="94"/>
      <c r="AF39" s="94"/>
      <c r="AG39" s="95">
        <f>IF(AND(L39="電車・バス", AE39="●"), AB39*2, IF(OR(L39="電車・バス",L39= "タクシー"), AB39, 0))</f>
        <v>0</v>
      </c>
      <c r="AH39" s="95"/>
      <c r="AI39" s="95"/>
      <c r="AJ39" s="95"/>
      <c r="AK39" s="94"/>
      <c r="AL39" s="94"/>
      <c r="AM39" s="94"/>
      <c r="AU39" s="86"/>
      <c r="AV39" s="86"/>
      <c r="AW39" s="86"/>
      <c r="AX39" s="96"/>
      <c r="AY39" s="96"/>
      <c r="AZ39" s="86"/>
      <c r="BA39" s="86"/>
      <c r="BB39" s="87"/>
      <c r="BC39" s="88"/>
      <c r="BD39" s="88"/>
      <c r="BE39" s="88"/>
    </row>
    <row r="40" spans="2:57" ht="14.25" customHeight="1" x14ac:dyDescent="0.15">
      <c r="B40" s="97"/>
      <c r="C40" s="97"/>
      <c r="D40" s="97"/>
      <c r="E40" s="89" t="s">
        <v>29</v>
      </c>
      <c r="F40" s="89"/>
      <c r="G40" s="90"/>
      <c r="H40" s="90"/>
      <c r="I40" s="90"/>
      <c r="J40" s="90"/>
      <c r="K40" s="90"/>
      <c r="L40" s="94"/>
      <c r="M40" s="94"/>
      <c r="N40" s="94"/>
      <c r="O40" s="89" t="s">
        <v>31</v>
      </c>
      <c r="P40" s="89"/>
      <c r="Q40" s="92"/>
      <c r="R40" s="92"/>
      <c r="S40" s="92"/>
      <c r="T40" s="92"/>
      <c r="U40" s="92"/>
      <c r="V40" s="12" t="str">
        <f>IF(AE39="","⇒","⇔")</f>
        <v>⇒</v>
      </c>
      <c r="W40" s="93"/>
      <c r="X40" s="93"/>
      <c r="Y40" s="93"/>
      <c r="Z40" s="93"/>
      <c r="AA40" s="93"/>
      <c r="AB40" s="104"/>
      <c r="AC40" s="104"/>
      <c r="AD40" s="104"/>
      <c r="AE40" s="94"/>
      <c r="AF40" s="94"/>
      <c r="AG40" s="95"/>
      <c r="AH40" s="95"/>
      <c r="AI40" s="95"/>
      <c r="AJ40" s="95"/>
      <c r="AK40" s="94"/>
      <c r="AL40" s="94"/>
      <c r="AM40" s="94"/>
      <c r="AU40" s="86"/>
      <c r="AV40" s="86"/>
      <c r="AW40" s="86"/>
      <c r="AX40" s="96"/>
      <c r="AY40" s="96"/>
      <c r="AZ40" s="86"/>
      <c r="BA40" s="86"/>
      <c r="BB40" s="87"/>
      <c r="BC40" s="88"/>
      <c r="BD40" s="88"/>
      <c r="BE40" s="88"/>
    </row>
    <row r="41" spans="2:57" ht="14.25" customHeight="1" x14ac:dyDescent="0.15">
      <c r="B41" s="97"/>
      <c r="C41" s="97"/>
      <c r="D41" s="97"/>
      <c r="E41" s="98" t="s">
        <v>20</v>
      </c>
      <c r="F41" s="98"/>
      <c r="G41" s="99"/>
      <c r="H41" s="99"/>
      <c r="I41" s="99"/>
      <c r="J41" s="99"/>
      <c r="K41" s="99"/>
      <c r="L41" s="94"/>
      <c r="M41" s="94"/>
      <c r="N41" s="94"/>
      <c r="O41" s="98" t="s">
        <v>23</v>
      </c>
      <c r="P41" s="98"/>
      <c r="Q41" s="125"/>
      <c r="R41" s="125"/>
      <c r="S41" s="125"/>
      <c r="T41" s="9" t="str">
        <f>IF(AE41="","⇒","⇔")</f>
        <v>⇒</v>
      </c>
      <c r="U41" s="126"/>
      <c r="V41" s="126"/>
      <c r="W41" s="126"/>
      <c r="X41" s="9" t="str">
        <f>IF(AE41="","⇒","⇔")</f>
        <v>⇒</v>
      </c>
      <c r="Y41" s="127"/>
      <c r="Z41" s="127"/>
      <c r="AA41" s="127"/>
      <c r="AB41" s="104"/>
      <c r="AC41" s="104"/>
      <c r="AD41" s="104"/>
      <c r="AE41" s="94"/>
      <c r="AF41" s="94"/>
      <c r="AG41" s="95">
        <f>IF(AND(L41="電車・バス", AE41="●"), AB41*2, IF(OR(L41="電車・バス",L41= "タクシー"), AB41, 0))</f>
        <v>0</v>
      </c>
      <c r="AH41" s="95"/>
      <c r="AI41" s="95"/>
      <c r="AJ41" s="95"/>
      <c r="AK41" s="94"/>
      <c r="AL41" s="94"/>
      <c r="AM41" s="94"/>
      <c r="AU41" s="86"/>
      <c r="AV41" s="86"/>
      <c r="AW41" s="86"/>
      <c r="AX41" s="96"/>
      <c r="AY41" s="96"/>
      <c r="AZ41" s="86"/>
      <c r="BA41" s="86"/>
      <c r="BB41" s="87"/>
      <c r="BC41" s="88"/>
      <c r="BD41" s="88"/>
      <c r="BE41" s="88"/>
    </row>
    <row r="42" spans="2:57" ht="14.25" customHeight="1" x14ac:dyDescent="0.15">
      <c r="B42" s="97"/>
      <c r="C42" s="97"/>
      <c r="D42" s="97"/>
      <c r="E42" s="89" t="s">
        <v>29</v>
      </c>
      <c r="F42" s="89"/>
      <c r="G42" s="90"/>
      <c r="H42" s="90"/>
      <c r="I42" s="90"/>
      <c r="J42" s="90"/>
      <c r="K42" s="90"/>
      <c r="L42" s="94"/>
      <c r="M42" s="94"/>
      <c r="N42" s="94"/>
      <c r="O42" s="89" t="s">
        <v>31</v>
      </c>
      <c r="P42" s="89"/>
      <c r="Q42" s="92"/>
      <c r="R42" s="92"/>
      <c r="S42" s="92"/>
      <c r="T42" s="92"/>
      <c r="U42" s="92"/>
      <c r="V42" s="12" t="str">
        <f>IF(AE41="","⇒","⇔")</f>
        <v>⇒</v>
      </c>
      <c r="W42" s="93"/>
      <c r="X42" s="93"/>
      <c r="Y42" s="93"/>
      <c r="Z42" s="93"/>
      <c r="AA42" s="93"/>
      <c r="AB42" s="104"/>
      <c r="AC42" s="104"/>
      <c r="AD42" s="104"/>
      <c r="AE42" s="94"/>
      <c r="AF42" s="94"/>
      <c r="AG42" s="95"/>
      <c r="AH42" s="95"/>
      <c r="AI42" s="95"/>
      <c r="AJ42" s="95"/>
      <c r="AK42" s="94"/>
      <c r="AL42" s="94"/>
      <c r="AM42" s="94"/>
      <c r="AU42" s="86"/>
      <c r="AV42" s="86"/>
      <c r="AW42" s="86"/>
      <c r="AX42" s="96"/>
      <c r="AY42" s="96"/>
      <c r="AZ42" s="86"/>
      <c r="BA42" s="86"/>
      <c r="BB42" s="87"/>
      <c r="BC42" s="88"/>
      <c r="BD42" s="88"/>
      <c r="BE42" s="88"/>
    </row>
    <row r="43" spans="2:57" ht="14.25" customHeight="1" x14ac:dyDescent="0.15">
      <c r="B43" s="97"/>
      <c r="C43" s="97"/>
      <c r="D43" s="97"/>
      <c r="E43" s="98" t="s">
        <v>20</v>
      </c>
      <c r="F43" s="98"/>
      <c r="G43" s="99"/>
      <c r="H43" s="99"/>
      <c r="I43" s="99"/>
      <c r="J43" s="99"/>
      <c r="K43" s="99"/>
      <c r="L43" s="94"/>
      <c r="M43" s="94"/>
      <c r="N43" s="94"/>
      <c r="O43" s="98" t="s">
        <v>23</v>
      </c>
      <c r="P43" s="98"/>
      <c r="Q43" s="125"/>
      <c r="R43" s="125"/>
      <c r="S43" s="125"/>
      <c r="T43" s="9" t="str">
        <f>IF(AE43="","⇒","⇔")</f>
        <v>⇒</v>
      </c>
      <c r="U43" s="126"/>
      <c r="V43" s="126"/>
      <c r="W43" s="126"/>
      <c r="X43" s="9" t="str">
        <f>IF(AE43="","⇒","⇔")</f>
        <v>⇒</v>
      </c>
      <c r="Y43" s="127"/>
      <c r="Z43" s="127"/>
      <c r="AA43" s="127"/>
      <c r="AB43" s="104"/>
      <c r="AC43" s="104"/>
      <c r="AD43" s="104"/>
      <c r="AE43" s="94"/>
      <c r="AF43" s="94"/>
      <c r="AG43" s="95">
        <f>IF(AND(L43="電車・バス", AE43="●"), AB43*2, IF(OR(L43="電車・バス",L43= "タクシー"), AB43, 0))</f>
        <v>0</v>
      </c>
      <c r="AH43" s="95"/>
      <c r="AI43" s="95"/>
      <c r="AJ43" s="95"/>
      <c r="AK43" s="94"/>
      <c r="AL43" s="94"/>
      <c r="AM43" s="94"/>
      <c r="AU43" s="86"/>
      <c r="AV43" s="86"/>
      <c r="AW43" s="86"/>
      <c r="AX43" s="96"/>
      <c r="AY43" s="96"/>
      <c r="AZ43" s="86"/>
      <c r="BA43" s="86"/>
      <c r="BB43" s="87"/>
      <c r="BC43" s="88"/>
      <c r="BD43" s="88"/>
      <c r="BE43" s="88"/>
    </row>
    <row r="44" spans="2:57" ht="14.25" customHeight="1" x14ac:dyDescent="0.15">
      <c r="B44" s="97"/>
      <c r="C44" s="97"/>
      <c r="D44" s="97"/>
      <c r="E44" s="89" t="s">
        <v>29</v>
      </c>
      <c r="F44" s="89"/>
      <c r="G44" s="90"/>
      <c r="H44" s="90"/>
      <c r="I44" s="90"/>
      <c r="J44" s="90"/>
      <c r="K44" s="90"/>
      <c r="L44" s="94"/>
      <c r="M44" s="94"/>
      <c r="N44" s="94"/>
      <c r="O44" s="89" t="s">
        <v>31</v>
      </c>
      <c r="P44" s="89"/>
      <c r="Q44" s="92"/>
      <c r="R44" s="92"/>
      <c r="S44" s="92"/>
      <c r="T44" s="92"/>
      <c r="U44" s="92"/>
      <c r="V44" s="12" t="str">
        <f>IF(AE43="","⇒","⇔")</f>
        <v>⇒</v>
      </c>
      <c r="W44" s="93"/>
      <c r="X44" s="93"/>
      <c r="Y44" s="93"/>
      <c r="Z44" s="93"/>
      <c r="AA44" s="93"/>
      <c r="AB44" s="104"/>
      <c r="AC44" s="104"/>
      <c r="AD44" s="104"/>
      <c r="AE44" s="94"/>
      <c r="AF44" s="94"/>
      <c r="AG44" s="95"/>
      <c r="AH44" s="95"/>
      <c r="AI44" s="95"/>
      <c r="AJ44" s="95"/>
      <c r="AK44" s="94"/>
      <c r="AL44" s="94"/>
      <c r="AM44" s="94"/>
      <c r="AU44" s="86"/>
      <c r="AV44" s="86"/>
      <c r="AW44" s="86"/>
      <c r="AX44" s="96"/>
      <c r="AY44" s="96"/>
      <c r="AZ44" s="86"/>
      <c r="BA44" s="86"/>
      <c r="BB44" s="87"/>
      <c r="BC44" s="88"/>
      <c r="BD44" s="88"/>
      <c r="BE44" s="88"/>
    </row>
    <row r="45" spans="2:57" ht="14.25" customHeight="1" x14ac:dyDescent="0.15">
      <c r="B45" s="97"/>
      <c r="C45" s="97"/>
      <c r="D45" s="97"/>
      <c r="E45" s="98" t="s">
        <v>20</v>
      </c>
      <c r="F45" s="98"/>
      <c r="G45" s="99"/>
      <c r="H45" s="99"/>
      <c r="I45" s="99"/>
      <c r="J45" s="99"/>
      <c r="K45" s="99"/>
      <c r="L45" s="94"/>
      <c r="M45" s="94"/>
      <c r="N45" s="94"/>
      <c r="O45" s="98" t="s">
        <v>23</v>
      </c>
      <c r="P45" s="98"/>
      <c r="Q45" s="125"/>
      <c r="R45" s="125"/>
      <c r="S45" s="125"/>
      <c r="T45" s="9" t="str">
        <f>IF(AE45="","⇒","⇔")</f>
        <v>⇒</v>
      </c>
      <c r="U45" s="126"/>
      <c r="V45" s="126"/>
      <c r="W45" s="126"/>
      <c r="X45" s="9" t="str">
        <f>IF(AE45="","⇒","⇔")</f>
        <v>⇒</v>
      </c>
      <c r="Y45" s="127"/>
      <c r="Z45" s="127"/>
      <c r="AA45" s="127"/>
      <c r="AB45" s="104"/>
      <c r="AC45" s="104"/>
      <c r="AD45" s="104"/>
      <c r="AE45" s="94"/>
      <c r="AF45" s="94"/>
      <c r="AG45" s="95">
        <f>IF(AND(L45="電車・バス", AE45="●"), AB45*2, IF(OR(L45="電車・バス",L45= "タクシー"), AB45, 0))</f>
        <v>0</v>
      </c>
      <c r="AH45" s="95"/>
      <c r="AI45" s="95"/>
      <c r="AJ45" s="95"/>
      <c r="AK45" s="94"/>
      <c r="AL45" s="94"/>
      <c r="AM45" s="94"/>
      <c r="AU45" s="86"/>
      <c r="AV45" s="86"/>
      <c r="AW45" s="86"/>
      <c r="AX45" s="96"/>
      <c r="AY45" s="96"/>
      <c r="AZ45" s="86"/>
      <c r="BA45" s="86"/>
      <c r="BB45" s="87"/>
      <c r="BC45" s="88"/>
      <c r="BD45" s="88"/>
      <c r="BE45" s="88"/>
    </row>
    <row r="46" spans="2:57" ht="14.25" customHeight="1" x14ac:dyDescent="0.15">
      <c r="B46" s="97"/>
      <c r="C46" s="97"/>
      <c r="D46" s="97"/>
      <c r="E46" s="89" t="s">
        <v>29</v>
      </c>
      <c r="F46" s="89"/>
      <c r="G46" s="90"/>
      <c r="H46" s="90"/>
      <c r="I46" s="90"/>
      <c r="J46" s="90"/>
      <c r="K46" s="90"/>
      <c r="L46" s="94"/>
      <c r="M46" s="94"/>
      <c r="N46" s="94"/>
      <c r="O46" s="89" t="s">
        <v>31</v>
      </c>
      <c r="P46" s="89"/>
      <c r="Q46" s="92"/>
      <c r="R46" s="92"/>
      <c r="S46" s="92"/>
      <c r="T46" s="92"/>
      <c r="U46" s="92"/>
      <c r="V46" s="12" t="str">
        <f>IF(AE45="","⇒","⇔")</f>
        <v>⇒</v>
      </c>
      <c r="W46" s="93"/>
      <c r="X46" s="93"/>
      <c r="Y46" s="93"/>
      <c r="Z46" s="93"/>
      <c r="AA46" s="93"/>
      <c r="AB46" s="104"/>
      <c r="AC46" s="104"/>
      <c r="AD46" s="104"/>
      <c r="AE46" s="94"/>
      <c r="AF46" s="94"/>
      <c r="AG46" s="95"/>
      <c r="AH46" s="95"/>
      <c r="AI46" s="95"/>
      <c r="AJ46" s="95"/>
      <c r="AK46" s="94"/>
      <c r="AL46" s="94"/>
      <c r="AM46" s="94"/>
      <c r="AU46" s="86"/>
      <c r="AV46" s="86"/>
      <c r="AW46" s="86"/>
      <c r="AX46" s="96"/>
      <c r="AY46" s="96"/>
      <c r="AZ46" s="86"/>
      <c r="BA46" s="86"/>
      <c r="BB46" s="87"/>
      <c r="BC46" s="88"/>
      <c r="BD46" s="88"/>
      <c r="BE46" s="88"/>
    </row>
    <row r="47" spans="2:57" ht="14.25" customHeight="1" x14ac:dyDescent="0.15">
      <c r="B47" s="97"/>
      <c r="C47" s="97"/>
      <c r="D47" s="97"/>
      <c r="E47" s="98" t="s">
        <v>20</v>
      </c>
      <c r="F47" s="98"/>
      <c r="G47" s="99"/>
      <c r="H47" s="99"/>
      <c r="I47" s="99"/>
      <c r="J47" s="99"/>
      <c r="K47" s="99"/>
      <c r="L47" s="94"/>
      <c r="M47" s="94"/>
      <c r="N47" s="94"/>
      <c r="O47" s="98" t="s">
        <v>23</v>
      </c>
      <c r="P47" s="98"/>
      <c r="Q47" s="125"/>
      <c r="R47" s="125"/>
      <c r="S47" s="125"/>
      <c r="T47" s="9" t="str">
        <f>IF(AE47="","⇒","⇔")</f>
        <v>⇒</v>
      </c>
      <c r="U47" s="126"/>
      <c r="V47" s="126"/>
      <c r="W47" s="126"/>
      <c r="X47" s="9" t="str">
        <f>IF(AE47="","⇒","⇔")</f>
        <v>⇒</v>
      </c>
      <c r="Y47" s="127"/>
      <c r="Z47" s="127"/>
      <c r="AA47" s="127"/>
      <c r="AB47" s="104"/>
      <c r="AC47" s="104"/>
      <c r="AD47" s="104"/>
      <c r="AE47" s="94"/>
      <c r="AF47" s="94"/>
      <c r="AG47" s="95">
        <f>IF(AND(L47="電車・バス", AE47="●"), AB47*2, IF(OR(L47="電車・バス",L47= "タクシー"), AB47, 0))</f>
        <v>0</v>
      </c>
      <c r="AH47" s="95"/>
      <c r="AI47" s="95"/>
      <c r="AJ47" s="95"/>
      <c r="AK47" s="94"/>
      <c r="AL47" s="94"/>
      <c r="AM47" s="94"/>
      <c r="AU47" s="86"/>
      <c r="AV47" s="86"/>
      <c r="AW47" s="86"/>
      <c r="AX47" s="96"/>
      <c r="AY47" s="96"/>
      <c r="AZ47" s="86"/>
      <c r="BA47" s="86"/>
      <c r="BB47" s="87"/>
      <c r="BC47" s="88"/>
      <c r="BD47" s="88"/>
      <c r="BE47" s="88"/>
    </row>
    <row r="48" spans="2:57" ht="14.25" customHeight="1" x14ac:dyDescent="0.15">
      <c r="B48" s="97"/>
      <c r="C48" s="97"/>
      <c r="D48" s="97"/>
      <c r="E48" s="89" t="s">
        <v>29</v>
      </c>
      <c r="F48" s="89"/>
      <c r="G48" s="90"/>
      <c r="H48" s="90"/>
      <c r="I48" s="90"/>
      <c r="J48" s="90"/>
      <c r="K48" s="90"/>
      <c r="L48" s="94"/>
      <c r="M48" s="94"/>
      <c r="N48" s="94"/>
      <c r="O48" s="89" t="s">
        <v>31</v>
      </c>
      <c r="P48" s="89"/>
      <c r="Q48" s="92"/>
      <c r="R48" s="92"/>
      <c r="S48" s="92"/>
      <c r="T48" s="92"/>
      <c r="U48" s="92"/>
      <c r="V48" s="12" t="str">
        <f>IF(AE47="","⇒","⇔")</f>
        <v>⇒</v>
      </c>
      <c r="W48" s="93"/>
      <c r="X48" s="93"/>
      <c r="Y48" s="93"/>
      <c r="Z48" s="93"/>
      <c r="AA48" s="93"/>
      <c r="AB48" s="104"/>
      <c r="AC48" s="104"/>
      <c r="AD48" s="104"/>
      <c r="AE48" s="94"/>
      <c r="AF48" s="94"/>
      <c r="AG48" s="95"/>
      <c r="AH48" s="95"/>
      <c r="AI48" s="95"/>
      <c r="AJ48" s="95"/>
      <c r="AK48" s="94"/>
      <c r="AL48" s="94"/>
      <c r="AM48" s="94"/>
      <c r="AU48" s="86"/>
      <c r="AV48" s="86"/>
      <c r="AW48" s="86"/>
      <c r="AX48" s="96"/>
      <c r="AY48" s="96"/>
      <c r="AZ48" s="86"/>
      <c r="BA48" s="86"/>
      <c r="BB48" s="87"/>
      <c r="BC48" s="88"/>
      <c r="BD48" s="88"/>
      <c r="BE48" s="88"/>
    </row>
    <row r="49" spans="2:57" ht="14.25" customHeight="1" x14ac:dyDescent="0.15">
      <c r="B49" s="97"/>
      <c r="C49" s="97"/>
      <c r="D49" s="97"/>
      <c r="E49" s="98" t="s">
        <v>20</v>
      </c>
      <c r="F49" s="98"/>
      <c r="G49" s="99"/>
      <c r="H49" s="99"/>
      <c r="I49" s="99"/>
      <c r="J49" s="99"/>
      <c r="K49" s="99"/>
      <c r="L49" s="94"/>
      <c r="M49" s="94"/>
      <c r="N49" s="94"/>
      <c r="O49" s="98" t="s">
        <v>23</v>
      </c>
      <c r="P49" s="98"/>
      <c r="Q49" s="125"/>
      <c r="R49" s="125"/>
      <c r="S49" s="125"/>
      <c r="T49" s="9" t="str">
        <f>IF(AE49="","⇒","⇔")</f>
        <v>⇒</v>
      </c>
      <c r="U49" s="126"/>
      <c r="V49" s="126"/>
      <c r="W49" s="126"/>
      <c r="X49" s="9" t="str">
        <f>IF(AE49="","⇒","⇔")</f>
        <v>⇒</v>
      </c>
      <c r="Y49" s="127"/>
      <c r="Z49" s="127"/>
      <c r="AA49" s="127"/>
      <c r="AB49" s="104"/>
      <c r="AC49" s="104"/>
      <c r="AD49" s="104"/>
      <c r="AE49" s="94"/>
      <c r="AF49" s="94"/>
      <c r="AG49" s="95">
        <f>IF(AND(L49="電車・バス", AE49="●"), AB49*2, IF(OR(L49="電車・バス",L49= "タクシー"), AB49, 0))</f>
        <v>0</v>
      </c>
      <c r="AH49" s="95"/>
      <c r="AI49" s="95"/>
      <c r="AJ49" s="95"/>
      <c r="AK49" s="94"/>
      <c r="AL49" s="94"/>
      <c r="AM49" s="94"/>
      <c r="AU49" s="86"/>
      <c r="AV49" s="86"/>
      <c r="AW49" s="86"/>
      <c r="AX49" s="96"/>
      <c r="AY49" s="96"/>
      <c r="AZ49" s="86"/>
      <c r="BA49" s="86"/>
      <c r="BB49" s="87"/>
      <c r="BC49" s="88"/>
      <c r="BD49" s="88"/>
      <c r="BE49" s="88"/>
    </row>
    <row r="50" spans="2:57" ht="14.25" customHeight="1" x14ac:dyDescent="0.15">
      <c r="B50" s="97"/>
      <c r="C50" s="97"/>
      <c r="D50" s="97"/>
      <c r="E50" s="89" t="s">
        <v>29</v>
      </c>
      <c r="F50" s="89"/>
      <c r="G50" s="90"/>
      <c r="H50" s="90"/>
      <c r="I50" s="90"/>
      <c r="J50" s="90"/>
      <c r="K50" s="90"/>
      <c r="L50" s="94"/>
      <c r="M50" s="94"/>
      <c r="N50" s="94"/>
      <c r="O50" s="89" t="s">
        <v>31</v>
      </c>
      <c r="P50" s="89"/>
      <c r="Q50" s="92"/>
      <c r="R50" s="92"/>
      <c r="S50" s="92"/>
      <c r="T50" s="92"/>
      <c r="U50" s="92"/>
      <c r="V50" s="12" t="str">
        <f>IF(AE49="","⇒","⇔")</f>
        <v>⇒</v>
      </c>
      <c r="W50" s="93"/>
      <c r="X50" s="93"/>
      <c r="Y50" s="93"/>
      <c r="Z50" s="93"/>
      <c r="AA50" s="93"/>
      <c r="AB50" s="104"/>
      <c r="AC50" s="104"/>
      <c r="AD50" s="104"/>
      <c r="AE50" s="94"/>
      <c r="AF50" s="94"/>
      <c r="AG50" s="95"/>
      <c r="AH50" s="95"/>
      <c r="AI50" s="95"/>
      <c r="AJ50" s="95"/>
      <c r="AK50" s="94"/>
      <c r="AL50" s="94"/>
      <c r="AM50" s="94"/>
      <c r="AU50" s="86"/>
      <c r="AV50" s="86"/>
      <c r="AW50" s="86"/>
      <c r="AX50" s="96"/>
      <c r="AY50" s="96"/>
      <c r="AZ50" s="86"/>
      <c r="BA50" s="86"/>
      <c r="BB50" s="87"/>
      <c r="BC50" s="88"/>
      <c r="BD50" s="88"/>
      <c r="BE50" s="88"/>
    </row>
    <row r="51" spans="2:57" ht="7.5" customHeight="1" x14ac:dyDescent="0.15">
      <c r="B51" s="13"/>
      <c r="C51" s="13"/>
      <c r="D51" s="13"/>
      <c r="E51" s="14"/>
      <c r="F51" s="15"/>
      <c r="G51" s="15"/>
      <c r="H51" s="15"/>
      <c r="I51" s="15"/>
      <c r="O51" s="14"/>
      <c r="P51" s="15"/>
      <c r="AV51" s="11"/>
    </row>
    <row r="52" spans="2:57" s="4" customFormat="1" ht="12" customHeight="1" x14ac:dyDescent="0.15">
      <c r="B52" s="77" t="s">
        <v>14</v>
      </c>
      <c r="C52" s="77"/>
      <c r="D52" s="77"/>
      <c r="E52" s="77"/>
      <c r="F52" s="77"/>
      <c r="G52" s="78" t="s">
        <v>35</v>
      </c>
      <c r="H52" s="78"/>
      <c r="I52" s="78"/>
      <c r="J52" s="78"/>
      <c r="K52" s="78"/>
      <c r="L52" s="78"/>
      <c r="M52" s="78"/>
      <c r="N52" s="78"/>
      <c r="O52" s="78"/>
      <c r="P52" s="78"/>
      <c r="Q52" s="78"/>
      <c r="R52" s="78"/>
      <c r="S52" s="78"/>
      <c r="T52" s="79" t="s">
        <v>18</v>
      </c>
      <c r="U52" s="79"/>
      <c r="V52" s="79"/>
      <c r="W52" s="79"/>
      <c r="X52" s="16"/>
      <c r="Y52" s="17"/>
      <c r="Z52" s="17"/>
      <c r="AA52" s="18"/>
      <c r="AB52" s="80" t="s">
        <v>36</v>
      </c>
      <c r="AC52" s="80"/>
      <c r="AD52" s="80"/>
      <c r="AE52" s="80"/>
      <c r="AF52" s="80"/>
      <c r="AG52" s="80"/>
      <c r="AH52" s="80"/>
      <c r="AI52" s="80"/>
      <c r="AJ52" s="80"/>
      <c r="AK52" s="80"/>
      <c r="AL52" s="80"/>
      <c r="AM52" s="80"/>
    </row>
    <row r="53" spans="2:57" s="4" customFormat="1" x14ac:dyDescent="0.15">
      <c r="B53" s="81" t="s">
        <v>22</v>
      </c>
      <c r="C53" s="81"/>
      <c r="D53" s="81"/>
      <c r="E53" s="81"/>
      <c r="F53" s="81"/>
      <c r="G53" s="19" t="s">
        <v>37</v>
      </c>
      <c r="H53" s="20"/>
      <c r="I53" s="20"/>
      <c r="J53" s="20"/>
      <c r="K53" s="20"/>
      <c r="L53" s="20" t="s">
        <v>38</v>
      </c>
      <c r="M53" s="20" t="s">
        <v>39</v>
      </c>
      <c r="N53" s="21"/>
      <c r="O53" s="21"/>
      <c r="P53" s="21"/>
      <c r="Q53" s="21"/>
      <c r="R53" s="21"/>
      <c r="S53" s="22"/>
      <c r="T53" s="82">
        <f>SUMIF(L9:N50,B53,AG9:AJ50)-X53</f>
        <v>720</v>
      </c>
      <c r="U53" s="82"/>
      <c r="V53" s="82"/>
      <c r="W53" s="82"/>
      <c r="X53" s="23">
        <f t="array" ref="X53">SUM(IF((G9:G50="接待関連")*(L9:L50=B53),AG9:AG50,""))</f>
        <v>0</v>
      </c>
      <c r="Y53" s="24"/>
      <c r="Z53" s="24"/>
      <c r="AA53" s="25"/>
      <c r="AB53" s="83">
        <f>SUM(AG9:AJ50)</f>
        <v>5720</v>
      </c>
      <c r="AC53" s="83"/>
      <c r="AD53" s="83"/>
      <c r="AE53" s="83"/>
      <c r="AF53" s="83"/>
      <c r="AG53" s="83"/>
      <c r="AH53" s="83"/>
      <c r="AI53" s="83"/>
      <c r="AJ53" s="83"/>
      <c r="AK53" s="83"/>
      <c r="AL53" s="83"/>
      <c r="AM53" s="83"/>
    </row>
    <row r="54" spans="2:57" s="4" customFormat="1" x14ac:dyDescent="0.15">
      <c r="B54" s="84" t="s">
        <v>40</v>
      </c>
      <c r="C54" s="84"/>
      <c r="D54" s="84"/>
      <c r="E54" s="84"/>
      <c r="F54" s="84"/>
      <c r="G54" s="26" t="s">
        <v>37</v>
      </c>
      <c r="H54" s="27"/>
      <c r="I54" s="27"/>
      <c r="J54" s="27"/>
      <c r="K54" s="27"/>
      <c r="L54" s="27"/>
      <c r="M54" s="27" t="s">
        <v>41</v>
      </c>
      <c r="N54" s="28"/>
      <c r="O54" s="28"/>
      <c r="P54" s="28"/>
      <c r="Q54" s="28"/>
      <c r="R54" s="28"/>
      <c r="S54" s="29"/>
      <c r="T54" s="85">
        <f>SUMIF(L9:N50,B54,AG9:AJ50)-X54</f>
        <v>5000</v>
      </c>
      <c r="U54" s="85"/>
      <c r="V54" s="85"/>
      <c r="W54" s="85"/>
      <c r="X54" s="23">
        <f t="array" ref="X54">SUM(IF((G9:G50="接待関連")*(L9:L50=B54),AG9:AG50,""))</f>
        <v>0</v>
      </c>
      <c r="Y54" s="24"/>
      <c r="Z54" s="24"/>
      <c r="AA54" s="25"/>
      <c r="AB54" s="83"/>
      <c r="AC54" s="83"/>
      <c r="AD54" s="83"/>
      <c r="AE54" s="83"/>
      <c r="AF54" s="83"/>
      <c r="AG54" s="83"/>
      <c r="AH54" s="83"/>
      <c r="AI54" s="83"/>
      <c r="AJ54" s="83"/>
      <c r="AK54" s="83"/>
      <c r="AL54" s="83"/>
      <c r="AM54" s="83"/>
    </row>
    <row r="55" spans="2:57" s="4" customFormat="1" x14ac:dyDescent="0.15">
      <c r="B55" s="70" t="s">
        <v>42</v>
      </c>
      <c r="C55" s="70"/>
      <c r="D55" s="70"/>
      <c r="E55" s="70"/>
      <c r="F55" s="70"/>
      <c r="G55" s="30" t="s">
        <v>43</v>
      </c>
      <c r="H55" s="31"/>
      <c r="I55" s="31"/>
      <c r="J55" s="31"/>
      <c r="K55" s="31"/>
      <c r="L55" s="31"/>
      <c r="M55" s="31" t="s">
        <v>44</v>
      </c>
      <c r="N55" s="32"/>
      <c r="O55" s="32"/>
      <c r="P55" s="32"/>
      <c r="Q55" s="32"/>
      <c r="R55" s="32"/>
      <c r="S55" s="33"/>
      <c r="T55" s="71">
        <f>SUMIF(G9:I50,"接待関連",AG9:AJ50)</f>
        <v>0</v>
      </c>
      <c r="U55" s="71"/>
      <c r="V55" s="71"/>
      <c r="W55" s="71"/>
      <c r="X55" s="34"/>
      <c r="Y55" s="34"/>
      <c r="Z55" s="34"/>
      <c r="AA55" s="34"/>
      <c r="AB55" s="35"/>
      <c r="AC55" s="35"/>
      <c r="AD55" s="35"/>
      <c r="AE55" s="35"/>
      <c r="AF55" s="35"/>
      <c r="AG55" s="35"/>
      <c r="AH55" s="35"/>
      <c r="AI55" s="35"/>
      <c r="AJ55" s="35"/>
      <c r="AK55" s="35"/>
      <c r="AL55" s="35"/>
      <c r="AM55" s="35"/>
    </row>
    <row r="56" spans="2:57" s="4" customFormat="1" ht="12" x14ac:dyDescent="0.15">
      <c r="B56" s="36"/>
      <c r="C56" s="36"/>
      <c r="D56" s="72"/>
      <c r="E56" s="72"/>
      <c r="F56" s="72"/>
      <c r="G56" s="72"/>
      <c r="H56" s="72"/>
      <c r="I56" s="72"/>
      <c r="J56" s="72"/>
      <c r="K56" s="72"/>
      <c r="L56" s="72"/>
      <c r="M56" s="38"/>
      <c r="N56" s="72"/>
      <c r="O56" s="72"/>
      <c r="P56" s="72"/>
      <c r="Q56" s="72"/>
      <c r="R56" s="72"/>
      <c r="S56" s="72"/>
      <c r="T56" s="72"/>
      <c r="U56" s="72"/>
      <c r="V56" s="38"/>
      <c r="W56" s="38"/>
      <c r="X56" s="38"/>
      <c r="Y56" s="38"/>
      <c r="Z56" s="38"/>
      <c r="AA56" s="38"/>
      <c r="AB56" s="39"/>
      <c r="AC56" s="39"/>
      <c r="AD56" s="39"/>
      <c r="AE56" s="39"/>
      <c r="AF56" s="39"/>
      <c r="AG56" s="39"/>
      <c r="AH56" s="39"/>
      <c r="AI56" s="39"/>
      <c r="AJ56" s="39"/>
      <c r="AK56" s="37"/>
      <c r="AL56" s="37"/>
      <c r="AM56" s="37"/>
    </row>
    <row r="57" spans="2:57" ht="7.5" customHeight="1" x14ac:dyDescent="0.15"/>
    <row r="58" spans="2:57" s="4" customFormat="1" ht="12" customHeight="1" x14ac:dyDescent="0.15">
      <c r="B58" s="73" t="s">
        <v>35</v>
      </c>
      <c r="C58" s="73"/>
      <c r="D58" s="40"/>
      <c r="E58" s="41" t="s">
        <v>45</v>
      </c>
      <c r="F58" s="42"/>
      <c r="G58" s="42"/>
      <c r="H58" s="42"/>
      <c r="I58" s="42"/>
      <c r="J58" s="42"/>
      <c r="K58" s="42"/>
      <c r="L58" s="42"/>
      <c r="M58" s="42"/>
      <c r="N58" s="41"/>
      <c r="O58" s="41"/>
      <c r="P58" s="42"/>
      <c r="Q58" s="41" t="s">
        <v>46</v>
      </c>
      <c r="R58" s="42"/>
      <c r="S58" s="42"/>
      <c r="T58" s="42"/>
      <c r="U58" s="42"/>
      <c r="V58" s="42"/>
      <c r="W58" s="41"/>
      <c r="X58" s="41"/>
      <c r="Y58" s="41"/>
      <c r="Z58" s="41"/>
      <c r="AA58" s="41"/>
      <c r="AB58" s="41" t="s">
        <v>47</v>
      </c>
      <c r="AC58" s="42"/>
      <c r="AD58" s="42"/>
      <c r="AE58" s="42"/>
      <c r="AF58" s="42"/>
      <c r="AG58" s="42"/>
      <c r="AH58" s="42"/>
      <c r="AI58" s="41"/>
      <c r="AJ58" s="41"/>
      <c r="AK58" s="41"/>
      <c r="AL58" s="43"/>
      <c r="AM58" s="44"/>
    </row>
    <row r="59" spans="2:57" s="4" customFormat="1" ht="12" x14ac:dyDescent="0.15">
      <c r="B59" s="73"/>
      <c r="C59" s="73"/>
      <c r="E59" s="67" t="s">
        <v>48</v>
      </c>
      <c r="F59" s="67"/>
      <c r="G59" s="67"/>
      <c r="H59" s="67"/>
      <c r="I59" s="67"/>
      <c r="J59" s="67"/>
      <c r="K59" s="67"/>
      <c r="L59" s="67"/>
      <c r="M59" s="67"/>
      <c r="N59" s="5"/>
      <c r="O59" s="5"/>
      <c r="P59" s="5"/>
      <c r="Q59" s="67" t="s">
        <v>48</v>
      </c>
      <c r="R59" s="67"/>
      <c r="S59" s="67"/>
      <c r="T59" s="67"/>
      <c r="U59" s="67"/>
      <c r="V59" s="67"/>
      <c r="W59" s="67"/>
      <c r="X59" s="67"/>
      <c r="Y59" s="67"/>
      <c r="Z59" s="5"/>
      <c r="AA59" s="5"/>
      <c r="AB59" s="67" t="s">
        <v>48</v>
      </c>
      <c r="AC59" s="67"/>
      <c r="AD59" s="67"/>
      <c r="AE59" s="67"/>
      <c r="AF59" s="67"/>
      <c r="AG59" s="67"/>
      <c r="AH59" s="67"/>
      <c r="AI59" s="67"/>
      <c r="AJ59" s="67"/>
      <c r="AL59" s="45"/>
      <c r="AM59" s="46"/>
    </row>
    <row r="60" spans="2:57" s="4" customFormat="1" ht="12" x14ac:dyDescent="0.15">
      <c r="B60" s="73"/>
      <c r="C60" s="73"/>
      <c r="E60" s="67"/>
      <c r="F60" s="67"/>
      <c r="G60" s="67"/>
      <c r="H60" s="67"/>
      <c r="I60" s="67"/>
      <c r="J60" s="67"/>
      <c r="K60" s="67"/>
      <c r="L60" s="67"/>
      <c r="M60" s="67"/>
      <c r="N60" s="5"/>
      <c r="O60" s="5"/>
      <c r="P60" s="5"/>
      <c r="Q60" s="67"/>
      <c r="R60" s="67"/>
      <c r="S60" s="67"/>
      <c r="T60" s="67"/>
      <c r="U60" s="67"/>
      <c r="V60" s="67"/>
      <c r="W60" s="67"/>
      <c r="X60" s="67"/>
      <c r="Y60" s="67"/>
      <c r="Z60" s="5"/>
      <c r="AA60" s="5"/>
      <c r="AB60" s="67"/>
      <c r="AC60" s="67"/>
      <c r="AD60" s="67"/>
      <c r="AE60" s="67"/>
      <c r="AF60" s="67"/>
      <c r="AG60" s="67"/>
      <c r="AH60" s="67"/>
      <c r="AI60" s="67"/>
      <c r="AJ60" s="67"/>
      <c r="AL60" s="47"/>
      <c r="AM60" s="48"/>
    </row>
    <row r="61" spans="2:57" s="4" customFormat="1" ht="12" x14ac:dyDescent="0.15">
      <c r="B61" s="73"/>
      <c r="C61" s="73"/>
      <c r="E61" s="68" t="s">
        <v>45</v>
      </c>
      <c r="F61" s="68"/>
      <c r="G61" s="68"/>
      <c r="H61" s="68" t="s">
        <v>3</v>
      </c>
      <c r="I61" s="68"/>
      <c r="J61" s="68"/>
      <c r="K61" s="68" t="s">
        <v>49</v>
      </c>
      <c r="L61" s="68"/>
      <c r="M61" s="68"/>
      <c r="N61" s="5"/>
      <c r="O61" s="5"/>
      <c r="P61" s="5"/>
      <c r="Q61" s="68" t="s">
        <v>50</v>
      </c>
      <c r="R61" s="68"/>
      <c r="S61" s="68"/>
      <c r="T61" s="68" t="s">
        <v>49</v>
      </c>
      <c r="U61" s="68"/>
      <c r="V61" s="68"/>
      <c r="W61" s="5"/>
      <c r="X61" s="5"/>
      <c r="Y61" s="5"/>
      <c r="Z61" s="5"/>
      <c r="AA61" s="5"/>
      <c r="AB61" s="68" t="s">
        <v>51</v>
      </c>
      <c r="AC61" s="68"/>
      <c r="AD61" s="68"/>
      <c r="AE61" s="68" t="s">
        <v>52</v>
      </c>
      <c r="AF61" s="68"/>
      <c r="AG61" s="68"/>
      <c r="AH61" s="68"/>
      <c r="AI61" s="68"/>
      <c r="AJ61" s="68"/>
      <c r="AK61" s="68"/>
      <c r="AL61" s="68"/>
      <c r="AM61" s="68"/>
    </row>
    <row r="62" spans="2:57" s="4" customFormat="1" ht="12" x14ac:dyDescent="0.15">
      <c r="B62" s="73"/>
      <c r="C62" s="73"/>
      <c r="E62" s="68"/>
      <c r="F62" s="68"/>
      <c r="G62" s="68"/>
      <c r="H62" s="68"/>
      <c r="I62" s="68"/>
      <c r="J62" s="68"/>
      <c r="K62" s="68"/>
      <c r="L62" s="68"/>
      <c r="M62" s="68"/>
      <c r="N62" s="5"/>
      <c r="O62" s="5"/>
      <c r="P62" s="5"/>
      <c r="Q62" s="68"/>
      <c r="R62" s="68"/>
      <c r="S62" s="68"/>
      <c r="T62" s="68"/>
      <c r="U62" s="68"/>
      <c r="V62" s="68"/>
      <c r="W62" s="45"/>
      <c r="X62" s="45"/>
      <c r="Y62" s="45"/>
      <c r="Z62" s="45"/>
      <c r="AA62" s="45"/>
      <c r="AB62" s="69"/>
      <c r="AC62" s="69"/>
      <c r="AD62" s="69"/>
      <c r="AE62" s="49"/>
      <c r="AF62" s="43"/>
      <c r="AG62" s="43"/>
      <c r="AH62" s="43"/>
      <c r="AI62" s="43"/>
      <c r="AJ62" s="43"/>
      <c r="AK62" s="43"/>
      <c r="AL62" s="43"/>
      <c r="AM62" s="44"/>
    </row>
    <row r="63" spans="2:57" s="4" customFormat="1" ht="12" x14ac:dyDescent="0.15">
      <c r="B63" s="73"/>
      <c r="C63" s="73"/>
      <c r="E63" s="68"/>
      <c r="F63" s="68"/>
      <c r="G63" s="68"/>
      <c r="H63" s="68"/>
      <c r="I63" s="68"/>
      <c r="J63" s="68"/>
      <c r="K63" s="68"/>
      <c r="L63" s="68"/>
      <c r="M63" s="68"/>
      <c r="N63" s="5"/>
      <c r="O63" s="5"/>
      <c r="P63" s="5"/>
      <c r="Q63" s="68"/>
      <c r="R63" s="68"/>
      <c r="S63" s="68"/>
      <c r="T63" s="68"/>
      <c r="U63" s="68"/>
      <c r="V63" s="68"/>
      <c r="W63" s="45"/>
      <c r="X63" s="45"/>
      <c r="Y63" s="45"/>
      <c r="Z63" s="45"/>
      <c r="AA63" s="45"/>
      <c r="AB63" s="69"/>
      <c r="AC63" s="69"/>
      <c r="AD63" s="69"/>
      <c r="AE63" s="50"/>
      <c r="AF63" s="45"/>
      <c r="AG63" s="45"/>
      <c r="AH63" s="45"/>
      <c r="AI63" s="45"/>
      <c r="AJ63" s="45"/>
      <c r="AK63" s="45"/>
      <c r="AL63" s="45"/>
      <c r="AM63" s="46"/>
    </row>
    <row r="64" spans="2:57" s="4" customFormat="1" ht="13.5" customHeight="1" x14ac:dyDescent="0.15">
      <c r="B64" s="73"/>
      <c r="C64" s="73"/>
      <c r="E64" s="68"/>
      <c r="F64" s="68"/>
      <c r="G64" s="68"/>
      <c r="H64" s="68"/>
      <c r="I64" s="68"/>
      <c r="J64" s="68"/>
      <c r="K64" s="68"/>
      <c r="L64" s="68"/>
      <c r="M64" s="68"/>
      <c r="N64" s="5"/>
      <c r="O64" s="5"/>
      <c r="P64" s="5"/>
      <c r="Q64" s="68"/>
      <c r="R64" s="68"/>
      <c r="S64" s="68"/>
      <c r="T64" s="68"/>
      <c r="U64" s="68"/>
      <c r="V64" s="68"/>
      <c r="W64" s="45"/>
      <c r="X64" s="45"/>
      <c r="Y64" s="45"/>
      <c r="Z64" s="45"/>
      <c r="AA64" s="45"/>
      <c r="AB64" s="69"/>
      <c r="AC64" s="69"/>
      <c r="AD64" s="69"/>
      <c r="AE64" s="51"/>
      <c r="AF64" s="47"/>
      <c r="AG64" s="47"/>
      <c r="AH64" s="47"/>
      <c r="AI64" s="47"/>
      <c r="AJ64" s="47"/>
      <c r="AK64" s="47"/>
      <c r="AL64" s="47"/>
      <c r="AM64" s="48"/>
    </row>
    <row r="65" spans="2:39" s="4" customFormat="1" ht="12" x14ac:dyDescent="0.15">
      <c r="B65" s="73"/>
      <c r="C65" s="73"/>
      <c r="D65" s="47"/>
      <c r="E65" s="47"/>
      <c r="F65" s="47"/>
      <c r="G65" s="47"/>
      <c r="H65" s="47"/>
      <c r="I65" s="47"/>
      <c r="J65" s="47"/>
      <c r="K65" s="47"/>
      <c r="L65" s="47"/>
      <c r="M65" s="47"/>
      <c r="N65" s="47"/>
      <c r="O65" s="47"/>
      <c r="P65" s="47"/>
      <c r="Q65" s="47"/>
      <c r="R65" s="47"/>
      <c r="S65" s="47"/>
      <c r="T65" s="47"/>
      <c r="U65" s="47"/>
      <c r="V65" s="47"/>
      <c r="W65" s="47"/>
      <c r="X65" s="47"/>
      <c r="Y65" s="47"/>
      <c r="Z65" s="47"/>
      <c r="AA65" s="47"/>
      <c r="AB65" s="52"/>
      <c r="AC65" s="52"/>
      <c r="AD65" s="52"/>
      <c r="AE65" s="52"/>
      <c r="AF65" s="52"/>
      <c r="AG65" s="52"/>
      <c r="AH65" s="38"/>
      <c r="AI65" s="38"/>
      <c r="AJ65" s="38"/>
      <c r="AK65" s="38"/>
      <c r="AL65" s="38"/>
      <c r="AM65" s="53"/>
    </row>
    <row r="66" spans="2:39" s="4" customFormat="1" ht="12" x14ac:dyDescent="0.15">
      <c r="B66" s="73"/>
      <c r="C66" s="73"/>
      <c r="D66" s="74" t="s">
        <v>53</v>
      </c>
      <c r="E66" s="74"/>
      <c r="F66" s="74"/>
      <c r="G66" s="74"/>
      <c r="H66" s="75" t="s">
        <v>54</v>
      </c>
      <c r="I66" s="75"/>
      <c r="J66" s="75"/>
      <c r="K66" s="75"/>
      <c r="L66" s="75"/>
      <c r="M66" s="75"/>
      <c r="N66" s="76" t="s">
        <v>55</v>
      </c>
      <c r="O66" s="76"/>
      <c r="P66" s="76"/>
      <c r="Q66" s="76"/>
      <c r="R66" s="76"/>
      <c r="S66" s="76"/>
      <c r="T66" s="76"/>
      <c r="U66" s="76"/>
      <c r="V66" s="76" t="s">
        <v>56</v>
      </c>
      <c r="W66" s="76"/>
      <c r="X66" s="76"/>
      <c r="Y66" s="76"/>
      <c r="Z66" s="76"/>
      <c r="AA66" s="76"/>
      <c r="AB66" s="66" t="s">
        <v>57</v>
      </c>
      <c r="AC66" s="66"/>
      <c r="AD66" s="66"/>
      <c r="AE66" s="66"/>
      <c r="AF66" s="66"/>
      <c r="AG66" s="66"/>
      <c r="AH66" s="41"/>
      <c r="AI66" s="41"/>
      <c r="AJ66" s="41"/>
      <c r="AK66" s="41"/>
      <c r="AL66" s="41"/>
      <c r="AM66" s="54"/>
    </row>
    <row r="67" spans="2:39" s="4" customFormat="1" ht="12" x14ac:dyDescent="0.15">
      <c r="B67" s="73"/>
      <c r="C67" s="73"/>
      <c r="D67" s="74"/>
      <c r="E67" s="74"/>
      <c r="F67" s="74"/>
      <c r="G67" s="74"/>
      <c r="H67" s="75"/>
      <c r="I67" s="75"/>
      <c r="J67" s="75"/>
      <c r="K67" s="75"/>
      <c r="L67" s="75"/>
      <c r="M67" s="75"/>
      <c r="N67" s="76"/>
      <c r="O67" s="76"/>
      <c r="P67" s="76"/>
      <c r="Q67" s="76"/>
      <c r="R67" s="76"/>
      <c r="S67" s="76"/>
      <c r="T67" s="76"/>
      <c r="U67" s="76"/>
      <c r="V67" s="76"/>
      <c r="W67" s="76"/>
      <c r="X67" s="76"/>
      <c r="Y67" s="76"/>
      <c r="Z67" s="76"/>
      <c r="AA67" s="76"/>
      <c r="AB67" s="66"/>
      <c r="AC67" s="66"/>
      <c r="AD67" s="66"/>
      <c r="AE67" s="66"/>
      <c r="AF67" s="66"/>
      <c r="AG67" s="66"/>
      <c r="AH67" s="38"/>
      <c r="AI67" s="38"/>
      <c r="AJ67" s="38"/>
      <c r="AK67" s="38"/>
      <c r="AL67" s="38"/>
      <c r="AM67" s="53"/>
    </row>
  </sheetData>
  <sheetProtection password="CC6F" sheet="1"/>
  <mergeCells count="653">
    <mergeCell ref="B1:D1"/>
    <mergeCell ref="E1:AJ1"/>
    <mergeCell ref="AK1:AQ1"/>
    <mergeCell ref="AR1:AS1"/>
    <mergeCell ref="B2:AM2"/>
    <mergeCell ref="B3:D3"/>
    <mergeCell ref="E3:G3"/>
    <mergeCell ref="H3:J6"/>
    <mergeCell ref="K3:N3"/>
    <mergeCell ref="O3:S3"/>
    <mergeCell ref="T3:AG3"/>
    <mergeCell ref="AH3:AM3"/>
    <mergeCell ref="B4:D6"/>
    <mergeCell ref="E4:G6"/>
    <mergeCell ref="K4:N6"/>
    <mergeCell ref="O4:S6"/>
    <mergeCell ref="T4:AD6"/>
    <mergeCell ref="AE4:AG6"/>
    <mergeCell ref="AH4:AM6"/>
    <mergeCell ref="B8:D8"/>
    <mergeCell ref="E8:K8"/>
    <mergeCell ref="L8:N8"/>
    <mergeCell ref="O8:AA8"/>
    <mergeCell ref="AB8:AD8"/>
    <mergeCell ref="AE8:AF8"/>
    <mergeCell ref="AG8:AJ8"/>
    <mergeCell ref="AK8:AM8"/>
    <mergeCell ref="B9:D10"/>
    <mergeCell ref="E9:F9"/>
    <mergeCell ref="G9:K9"/>
    <mergeCell ref="L9:N10"/>
    <mergeCell ref="O9:P9"/>
    <mergeCell ref="Q9:S9"/>
    <mergeCell ref="U9:W9"/>
    <mergeCell ref="Y9:AA9"/>
    <mergeCell ref="AB9:AD10"/>
    <mergeCell ref="AE9:AF10"/>
    <mergeCell ref="AG9:AJ10"/>
    <mergeCell ref="AK9:AM10"/>
    <mergeCell ref="AU9:AU10"/>
    <mergeCell ref="AV9:AV10"/>
    <mergeCell ref="AW9:AW10"/>
    <mergeCell ref="AX9:AX10"/>
    <mergeCell ref="AY9:AY10"/>
    <mergeCell ref="AZ9:AZ10"/>
    <mergeCell ref="BA9:BA10"/>
    <mergeCell ref="BB9:BB10"/>
    <mergeCell ref="BC9:BC10"/>
    <mergeCell ref="BD9:BD10"/>
    <mergeCell ref="BE9:BE10"/>
    <mergeCell ref="E10:F10"/>
    <mergeCell ref="G10:K10"/>
    <mergeCell ref="O10:P10"/>
    <mergeCell ref="Q10:U10"/>
    <mergeCell ref="W10:AA10"/>
    <mergeCell ref="B11:D12"/>
    <mergeCell ref="E11:F11"/>
    <mergeCell ref="G11:K11"/>
    <mergeCell ref="L11:N12"/>
    <mergeCell ref="O11:P11"/>
    <mergeCell ref="Q11:S11"/>
    <mergeCell ref="U11:W11"/>
    <mergeCell ref="Y11:AA11"/>
    <mergeCell ref="AB11:AD12"/>
    <mergeCell ref="AE11:AF12"/>
    <mergeCell ref="AG11:AJ12"/>
    <mergeCell ref="AK11:AM12"/>
    <mergeCell ref="AU11:AU12"/>
    <mergeCell ref="AV11:AV12"/>
    <mergeCell ref="AW11:AW12"/>
    <mergeCell ref="AX11:AX12"/>
    <mergeCell ref="AY11:AY12"/>
    <mergeCell ref="AZ11:AZ12"/>
    <mergeCell ref="BA11:BA12"/>
    <mergeCell ref="BB11:BB12"/>
    <mergeCell ref="BC11:BC12"/>
    <mergeCell ref="BD11:BD12"/>
    <mergeCell ref="BE11:BE12"/>
    <mergeCell ref="E12:F12"/>
    <mergeCell ref="G12:K12"/>
    <mergeCell ref="O12:P12"/>
    <mergeCell ref="Q12:U12"/>
    <mergeCell ref="W12:AA12"/>
    <mergeCell ref="B13:D14"/>
    <mergeCell ref="E13:F13"/>
    <mergeCell ref="G13:K13"/>
    <mergeCell ref="L13:N14"/>
    <mergeCell ref="O13:P13"/>
    <mergeCell ref="Q13:S13"/>
    <mergeCell ref="U13:W13"/>
    <mergeCell ref="Y13:AA13"/>
    <mergeCell ref="AB13:AD14"/>
    <mergeCell ref="BA13:BA14"/>
    <mergeCell ref="BB13:BB14"/>
    <mergeCell ref="BC13:BC14"/>
    <mergeCell ref="BD13:BD14"/>
    <mergeCell ref="BE13:BE14"/>
    <mergeCell ref="E14:F14"/>
    <mergeCell ref="G14:K14"/>
    <mergeCell ref="O14:P14"/>
    <mergeCell ref="Q14:U14"/>
    <mergeCell ref="W14:AA14"/>
    <mergeCell ref="AE13:AF14"/>
    <mergeCell ref="AG13:AJ14"/>
    <mergeCell ref="AK13:AM14"/>
    <mergeCell ref="AU13:AU14"/>
    <mergeCell ref="AV13:AV14"/>
    <mergeCell ref="AW13:AW14"/>
    <mergeCell ref="AX13:AX14"/>
    <mergeCell ref="AY13:AY14"/>
    <mergeCell ref="AZ13:AZ14"/>
    <mergeCell ref="B15:D16"/>
    <mergeCell ref="E15:F15"/>
    <mergeCell ref="G15:K15"/>
    <mergeCell ref="L15:N16"/>
    <mergeCell ref="O15:P15"/>
    <mergeCell ref="Q15:S15"/>
    <mergeCell ref="U15:W15"/>
    <mergeCell ref="Y15:AA15"/>
    <mergeCell ref="AB15:AD16"/>
    <mergeCell ref="BA15:BA16"/>
    <mergeCell ref="BB15:BB16"/>
    <mergeCell ref="BC15:BC16"/>
    <mergeCell ref="BD15:BD16"/>
    <mergeCell ref="BE15:BE16"/>
    <mergeCell ref="E16:F16"/>
    <mergeCell ref="G16:K16"/>
    <mergeCell ref="O16:P16"/>
    <mergeCell ref="Q16:U16"/>
    <mergeCell ref="W16:AA16"/>
    <mergeCell ref="AE15:AF16"/>
    <mergeCell ref="AG15:AJ16"/>
    <mergeCell ref="AK15:AM16"/>
    <mergeCell ref="AU15:AU16"/>
    <mergeCell ref="AV15:AV16"/>
    <mergeCell ref="AW15:AW16"/>
    <mergeCell ref="AX15:AX16"/>
    <mergeCell ref="AY15:AY16"/>
    <mergeCell ref="AZ15:AZ16"/>
    <mergeCell ref="B17:D18"/>
    <mergeCell ref="E17:F17"/>
    <mergeCell ref="G17:K17"/>
    <mergeCell ref="L17:N18"/>
    <mergeCell ref="O17:P17"/>
    <mergeCell ref="Q17:S17"/>
    <mergeCell ref="U17:W17"/>
    <mergeCell ref="Y17:AA17"/>
    <mergeCell ref="AB17:AD18"/>
    <mergeCell ref="BA17:BA18"/>
    <mergeCell ref="BB17:BB18"/>
    <mergeCell ref="BC17:BC18"/>
    <mergeCell ref="BD17:BD18"/>
    <mergeCell ref="BE17:BE18"/>
    <mergeCell ref="E18:F18"/>
    <mergeCell ref="G18:K18"/>
    <mergeCell ref="O18:P18"/>
    <mergeCell ref="Q18:U18"/>
    <mergeCell ref="W18:AA18"/>
    <mergeCell ref="AE17:AF18"/>
    <mergeCell ref="AG17:AJ18"/>
    <mergeCell ref="AK17:AM18"/>
    <mergeCell ref="AU17:AU18"/>
    <mergeCell ref="AV17:AV18"/>
    <mergeCell ref="AW17:AW18"/>
    <mergeCell ref="AX17:AX18"/>
    <mergeCell ref="AY17:AY18"/>
    <mergeCell ref="AZ17:AZ18"/>
    <mergeCell ref="B19:D20"/>
    <mergeCell ref="E19:F19"/>
    <mergeCell ref="G19:K19"/>
    <mergeCell ref="L19:N20"/>
    <mergeCell ref="O19:P19"/>
    <mergeCell ref="Q19:S19"/>
    <mergeCell ref="U19:W19"/>
    <mergeCell ref="Y19:AA19"/>
    <mergeCell ref="AB19:AD20"/>
    <mergeCell ref="BA19:BA20"/>
    <mergeCell ref="BB19:BB20"/>
    <mergeCell ref="BC19:BC20"/>
    <mergeCell ref="BD19:BD20"/>
    <mergeCell ref="BE19:BE20"/>
    <mergeCell ref="E20:F20"/>
    <mergeCell ref="G20:K20"/>
    <mergeCell ref="O20:P20"/>
    <mergeCell ref="Q20:U20"/>
    <mergeCell ref="W20:AA20"/>
    <mergeCell ref="AE19:AF20"/>
    <mergeCell ref="AG19:AJ20"/>
    <mergeCell ref="AK19:AM20"/>
    <mergeCell ref="AU19:AU20"/>
    <mergeCell ref="AV19:AV20"/>
    <mergeCell ref="AW19:AW20"/>
    <mergeCell ref="AX19:AX20"/>
    <mergeCell ref="AY19:AY20"/>
    <mergeCell ref="AZ19:AZ20"/>
    <mergeCell ref="B21:D22"/>
    <mergeCell ref="E21:F21"/>
    <mergeCell ref="G21:K21"/>
    <mergeCell ref="L21:N22"/>
    <mergeCell ref="O21:P21"/>
    <mergeCell ref="Q21:S21"/>
    <mergeCell ref="U21:W21"/>
    <mergeCell ref="Y21:AA21"/>
    <mergeCell ref="AB21:AD22"/>
    <mergeCell ref="BA21:BA22"/>
    <mergeCell ref="BB21:BB22"/>
    <mergeCell ref="BC21:BC22"/>
    <mergeCell ref="BD21:BD22"/>
    <mergeCell ref="BE21:BE22"/>
    <mergeCell ref="E22:F22"/>
    <mergeCell ref="G22:K22"/>
    <mergeCell ref="O22:P22"/>
    <mergeCell ref="Q22:U22"/>
    <mergeCell ref="W22:AA22"/>
    <mergeCell ref="AE21:AF22"/>
    <mergeCell ref="AG21:AJ22"/>
    <mergeCell ref="AK21:AM22"/>
    <mergeCell ref="AU21:AU22"/>
    <mergeCell ref="AV21:AV22"/>
    <mergeCell ref="AW21:AW22"/>
    <mergeCell ref="AX21:AX22"/>
    <mergeCell ref="AY21:AY22"/>
    <mergeCell ref="AZ21:AZ22"/>
    <mergeCell ref="B23:D24"/>
    <mergeCell ref="E23:F23"/>
    <mergeCell ref="G23:K23"/>
    <mergeCell ref="L23:N24"/>
    <mergeCell ref="O23:P23"/>
    <mergeCell ref="Q23:S23"/>
    <mergeCell ref="U23:W23"/>
    <mergeCell ref="Y23:AA23"/>
    <mergeCell ref="AB23:AD24"/>
    <mergeCell ref="BA23:BA24"/>
    <mergeCell ref="BB23:BB24"/>
    <mergeCell ref="BC23:BC24"/>
    <mergeCell ref="BD23:BD24"/>
    <mergeCell ref="BE23:BE24"/>
    <mergeCell ref="E24:F24"/>
    <mergeCell ref="G24:K24"/>
    <mergeCell ref="O24:P24"/>
    <mergeCell ref="Q24:U24"/>
    <mergeCell ref="W24:AA24"/>
    <mergeCell ref="AE23:AF24"/>
    <mergeCell ref="AG23:AJ24"/>
    <mergeCell ref="AK23:AM24"/>
    <mergeCell ref="AU23:AU24"/>
    <mergeCell ref="AV23:AV24"/>
    <mergeCell ref="AW23:AW24"/>
    <mergeCell ref="AX23:AX24"/>
    <mergeCell ref="AY23:AY24"/>
    <mergeCell ref="AZ23:AZ24"/>
    <mergeCell ref="B25:D26"/>
    <mergeCell ref="E25:F25"/>
    <mergeCell ref="G25:K25"/>
    <mergeCell ref="L25:N26"/>
    <mergeCell ref="O25:P25"/>
    <mergeCell ref="Q25:S25"/>
    <mergeCell ref="U25:W25"/>
    <mergeCell ref="Y25:AA25"/>
    <mergeCell ref="AB25:AD26"/>
    <mergeCell ref="BA25:BA26"/>
    <mergeCell ref="BB25:BB26"/>
    <mergeCell ref="BC25:BC26"/>
    <mergeCell ref="BD25:BD26"/>
    <mergeCell ref="BE25:BE26"/>
    <mergeCell ref="E26:F26"/>
    <mergeCell ref="G26:K26"/>
    <mergeCell ref="O26:P26"/>
    <mergeCell ref="Q26:U26"/>
    <mergeCell ref="W26:AA26"/>
    <mergeCell ref="AE25:AF26"/>
    <mergeCell ref="AG25:AJ26"/>
    <mergeCell ref="AK25:AM26"/>
    <mergeCell ref="AU25:AU26"/>
    <mergeCell ref="AV25:AV26"/>
    <mergeCell ref="AW25:AW26"/>
    <mergeCell ref="AX25:AX26"/>
    <mergeCell ref="AY25:AY26"/>
    <mergeCell ref="AZ25:AZ26"/>
    <mergeCell ref="B27:D28"/>
    <mergeCell ref="E27:F27"/>
    <mergeCell ref="G27:K27"/>
    <mergeCell ref="L27:N28"/>
    <mergeCell ref="O27:P27"/>
    <mergeCell ref="Q27:S27"/>
    <mergeCell ref="U27:W27"/>
    <mergeCell ref="Y27:AA27"/>
    <mergeCell ref="AB27:AD28"/>
    <mergeCell ref="BA27:BA28"/>
    <mergeCell ref="BB27:BB28"/>
    <mergeCell ref="BC27:BC28"/>
    <mergeCell ref="BD27:BD28"/>
    <mergeCell ref="BE27:BE28"/>
    <mergeCell ref="E28:F28"/>
    <mergeCell ref="G28:K28"/>
    <mergeCell ref="O28:P28"/>
    <mergeCell ref="Q28:U28"/>
    <mergeCell ref="W28:AA28"/>
    <mergeCell ref="AE27:AF28"/>
    <mergeCell ref="AG27:AJ28"/>
    <mergeCell ref="AK27:AM28"/>
    <mergeCell ref="AU27:AU28"/>
    <mergeCell ref="AV27:AV28"/>
    <mergeCell ref="AW27:AW28"/>
    <mergeCell ref="AX27:AX28"/>
    <mergeCell ref="AY27:AY28"/>
    <mergeCell ref="AZ27:AZ28"/>
    <mergeCell ref="B29:D30"/>
    <mergeCell ref="E29:F29"/>
    <mergeCell ref="G29:K29"/>
    <mergeCell ref="L29:N30"/>
    <mergeCell ref="O29:P29"/>
    <mergeCell ref="Q29:S29"/>
    <mergeCell ref="U29:W29"/>
    <mergeCell ref="Y29:AA29"/>
    <mergeCell ref="AB29:AD30"/>
    <mergeCell ref="BA29:BA30"/>
    <mergeCell ref="BB29:BB30"/>
    <mergeCell ref="BC29:BC30"/>
    <mergeCell ref="BD29:BD30"/>
    <mergeCell ref="BE29:BE30"/>
    <mergeCell ref="E30:F30"/>
    <mergeCell ref="G30:K30"/>
    <mergeCell ref="O30:P30"/>
    <mergeCell ref="Q30:U30"/>
    <mergeCell ref="W30:AA30"/>
    <mergeCell ref="AE29:AF30"/>
    <mergeCell ref="AG29:AJ30"/>
    <mergeCell ref="AK29:AM30"/>
    <mergeCell ref="AU29:AU30"/>
    <mergeCell ref="AV29:AV30"/>
    <mergeCell ref="AW29:AW30"/>
    <mergeCell ref="AX29:AX30"/>
    <mergeCell ref="AY29:AY30"/>
    <mergeCell ref="AZ29:AZ30"/>
    <mergeCell ref="B31:D32"/>
    <mergeCell ref="E31:F31"/>
    <mergeCell ref="G31:K31"/>
    <mergeCell ref="L31:N32"/>
    <mergeCell ref="O31:P31"/>
    <mergeCell ref="Q31:S31"/>
    <mergeCell ref="U31:W31"/>
    <mergeCell ref="Y31:AA31"/>
    <mergeCell ref="AB31:AD32"/>
    <mergeCell ref="BA31:BA32"/>
    <mergeCell ref="BB31:BB32"/>
    <mergeCell ref="BC31:BC32"/>
    <mergeCell ref="BD31:BD32"/>
    <mergeCell ref="BE31:BE32"/>
    <mergeCell ref="E32:F32"/>
    <mergeCell ref="G32:K32"/>
    <mergeCell ref="O32:P32"/>
    <mergeCell ref="Q32:U32"/>
    <mergeCell ref="W32:AA32"/>
    <mergeCell ref="AE31:AF32"/>
    <mergeCell ref="AG31:AJ32"/>
    <mergeCell ref="AK31:AM32"/>
    <mergeCell ref="AU31:AU32"/>
    <mergeCell ref="AV31:AV32"/>
    <mergeCell ref="AW31:AW32"/>
    <mergeCell ref="AX31:AX32"/>
    <mergeCell ref="AY31:AY32"/>
    <mergeCell ref="AZ31:AZ32"/>
    <mergeCell ref="B33:D34"/>
    <mergeCell ref="E33:F33"/>
    <mergeCell ref="G33:K33"/>
    <mergeCell ref="L33:N34"/>
    <mergeCell ref="O33:P33"/>
    <mergeCell ref="Q33:S33"/>
    <mergeCell ref="U33:W33"/>
    <mergeCell ref="Y33:AA33"/>
    <mergeCell ref="AB33:AD34"/>
    <mergeCell ref="BA33:BA34"/>
    <mergeCell ref="BB33:BB34"/>
    <mergeCell ref="BC33:BC34"/>
    <mergeCell ref="BD33:BD34"/>
    <mergeCell ref="BE33:BE34"/>
    <mergeCell ref="E34:F34"/>
    <mergeCell ref="G34:K34"/>
    <mergeCell ref="O34:P34"/>
    <mergeCell ref="Q34:U34"/>
    <mergeCell ref="W34:AA34"/>
    <mergeCell ref="AE33:AF34"/>
    <mergeCell ref="AG33:AJ34"/>
    <mergeCell ref="AK33:AM34"/>
    <mergeCell ref="AU33:AU34"/>
    <mergeCell ref="AV33:AV34"/>
    <mergeCell ref="AW33:AW34"/>
    <mergeCell ref="AX33:AX34"/>
    <mergeCell ref="AY33:AY34"/>
    <mergeCell ref="AZ33:AZ34"/>
    <mergeCell ref="B35:D36"/>
    <mergeCell ref="E35:F35"/>
    <mergeCell ref="G35:K35"/>
    <mergeCell ref="L35:N36"/>
    <mergeCell ref="O35:P35"/>
    <mergeCell ref="Q35:S35"/>
    <mergeCell ref="U35:W35"/>
    <mergeCell ref="Y35:AA35"/>
    <mergeCell ref="AB35:AD36"/>
    <mergeCell ref="BA35:BA36"/>
    <mergeCell ref="BB35:BB36"/>
    <mergeCell ref="BC35:BC36"/>
    <mergeCell ref="BD35:BD36"/>
    <mergeCell ref="BE35:BE36"/>
    <mergeCell ref="E36:F36"/>
    <mergeCell ref="G36:K36"/>
    <mergeCell ref="O36:P36"/>
    <mergeCell ref="Q36:U36"/>
    <mergeCell ref="W36:AA36"/>
    <mergeCell ref="AE35:AF36"/>
    <mergeCell ref="AG35:AJ36"/>
    <mergeCell ref="AK35:AM36"/>
    <mergeCell ref="AU35:AU36"/>
    <mergeCell ref="AV35:AV36"/>
    <mergeCell ref="AW35:AW36"/>
    <mergeCell ref="AX35:AX36"/>
    <mergeCell ref="AY35:AY36"/>
    <mergeCell ref="AZ35:AZ36"/>
    <mergeCell ref="B37:D38"/>
    <mergeCell ref="E37:F37"/>
    <mergeCell ref="G37:K37"/>
    <mergeCell ref="L37:N38"/>
    <mergeCell ref="O37:P37"/>
    <mergeCell ref="Q37:S37"/>
    <mergeCell ref="U37:W37"/>
    <mergeCell ref="Y37:AA37"/>
    <mergeCell ref="AB37:AD38"/>
    <mergeCell ref="BA37:BA38"/>
    <mergeCell ref="BB37:BB38"/>
    <mergeCell ref="BC37:BC38"/>
    <mergeCell ref="BD37:BD38"/>
    <mergeCell ref="BE37:BE38"/>
    <mergeCell ref="E38:F38"/>
    <mergeCell ref="G38:K38"/>
    <mergeCell ref="O38:P38"/>
    <mergeCell ref="Q38:U38"/>
    <mergeCell ref="W38:AA38"/>
    <mergeCell ref="AE37:AF38"/>
    <mergeCell ref="AG37:AJ38"/>
    <mergeCell ref="AK37:AM38"/>
    <mergeCell ref="AU37:AU38"/>
    <mergeCell ref="AV37:AV38"/>
    <mergeCell ref="AW37:AW38"/>
    <mergeCell ref="AX37:AX38"/>
    <mergeCell ref="AY37:AY38"/>
    <mergeCell ref="AZ37:AZ38"/>
    <mergeCell ref="B39:D40"/>
    <mergeCell ref="E39:F39"/>
    <mergeCell ref="G39:K39"/>
    <mergeCell ref="L39:N40"/>
    <mergeCell ref="O39:P39"/>
    <mergeCell ref="Q39:S39"/>
    <mergeCell ref="U39:W39"/>
    <mergeCell ref="Y39:AA39"/>
    <mergeCell ref="AB39:AD40"/>
    <mergeCell ref="BA39:BA40"/>
    <mergeCell ref="BB39:BB40"/>
    <mergeCell ref="BC39:BC40"/>
    <mergeCell ref="BD39:BD40"/>
    <mergeCell ref="BE39:BE40"/>
    <mergeCell ref="E40:F40"/>
    <mergeCell ref="G40:K40"/>
    <mergeCell ref="O40:P40"/>
    <mergeCell ref="Q40:U40"/>
    <mergeCell ref="W40:AA40"/>
    <mergeCell ref="AE39:AF40"/>
    <mergeCell ref="AG39:AJ40"/>
    <mergeCell ref="AK39:AM40"/>
    <mergeCell ref="AU39:AU40"/>
    <mergeCell ref="AV39:AV40"/>
    <mergeCell ref="AW39:AW40"/>
    <mergeCell ref="AX39:AX40"/>
    <mergeCell ref="AY39:AY40"/>
    <mergeCell ref="AZ39:AZ40"/>
    <mergeCell ref="B41:D42"/>
    <mergeCell ref="E41:F41"/>
    <mergeCell ref="G41:K41"/>
    <mergeCell ref="L41:N42"/>
    <mergeCell ref="O41:P41"/>
    <mergeCell ref="Q41:S41"/>
    <mergeCell ref="U41:W41"/>
    <mergeCell ref="Y41:AA41"/>
    <mergeCell ref="AB41:AD42"/>
    <mergeCell ref="BA41:BA42"/>
    <mergeCell ref="BB41:BB42"/>
    <mergeCell ref="BC41:BC42"/>
    <mergeCell ref="BD41:BD42"/>
    <mergeCell ref="BE41:BE42"/>
    <mergeCell ref="E42:F42"/>
    <mergeCell ref="G42:K42"/>
    <mergeCell ref="O42:P42"/>
    <mergeCell ref="Q42:U42"/>
    <mergeCell ref="W42:AA42"/>
    <mergeCell ref="AE41:AF42"/>
    <mergeCell ref="AG41:AJ42"/>
    <mergeCell ref="AK41:AM42"/>
    <mergeCell ref="AU41:AU42"/>
    <mergeCell ref="AV41:AV42"/>
    <mergeCell ref="AW41:AW42"/>
    <mergeCell ref="AX41:AX42"/>
    <mergeCell ref="AY41:AY42"/>
    <mergeCell ref="AZ41:AZ42"/>
    <mergeCell ref="B43:D44"/>
    <mergeCell ref="E43:F43"/>
    <mergeCell ref="G43:K43"/>
    <mergeCell ref="L43:N44"/>
    <mergeCell ref="O43:P43"/>
    <mergeCell ref="Q43:S43"/>
    <mergeCell ref="U43:W43"/>
    <mergeCell ref="Y43:AA43"/>
    <mergeCell ref="AB43:AD44"/>
    <mergeCell ref="BA43:BA44"/>
    <mergeCell ref="BB43:BB44"/>
    <mergeCell ref="BC43:BC44"/>
    <mergeCell ref="BD43:BD44"/>
    <mergeCell ref="BE43:BE44"/>
    <mergeCell ref="E44:F44"/>
    <mergeCell ref="G44:K44"/>
    <mergeCell ref="O44:P44"/>
    <mergeCell ref="Q44:U44"/>
    <mergeCell ref="W44:AA44"/>
    <mergeCell ref="AE43:AF44"/>
    <mergeCell ref="AG43:AJ44"/>
    <mergeCell ref="AK43:AM44"/>
    <mergeCell ref="AU43:AU44"/>
    <mergeCell ref="AV43:AV44"/>
    <mergeCell ref="AW43:AW44"/>
    <mergeCell ref="AX43:AX44"/>
    <mergeCell ref="AY43:AY44"/>
    <mergeCell ref="AZ43:AZ44"/>
    <mergeCell ref="B45:D46"/>
    <mergeCell ref="E45:F45"/>
    <mergeCell ref="G45:K45"/>
    <mergeCell ref="L45:N46"/>
    <mergeCell ref="O45:P45"/>
    <mergeCell ref="Q45:S45"/>
    <mergeCell ref="U45:W45"/>
    <mergeCell ref="Y45:AA45"/>
    <mergeCell ref="AB45:AD46"/>
    <mergeCell ref="BA45:BA46"/>
    <mergeCell ref="BB45:BB46"/>
    <mergeCell ref="BC45:BC46"/>
    <mergeCell ref="BD45:BD46"/>
    <mergeCell ref="BE45:BE46"/>
    <mergeCell ref="E46:F46"/>
    <mergeCell ref="G46:K46"/>
    <mergeCell ref="O46:P46"/>
    <mergeCell ref="Q46:U46"/>
    <mergeCell ref="W46:AA46"/>
    <mergeCell ref="AE45:AF46"/>
    <mergeCell ref="AG45:AJ46"/>
    <mergeCell ref="AK45:AM46"/>
    <mergeCell ref="AU45:AU46"/>
    <mergeCell ref="AV45:AV46"/>
    <mergeCell ref="AW45:AW46"/>
    <mergeCell ref="AX45:AX46"/>
    <mergeCell ref="AY45:AY46"/>
    <mergeCell ref="AZ45:AZ46"/>
    <mergeCell ref="B47:D48"/>
    <mergeCell ref="E47:F47"/>
    <mergeCell ref="G47:K47"/>
    <mergeCell ref="L47:N48"/>
    <mergeCell ref="O47:P47"/>
    <mergeCell ref="Q47:S47"/>
    <mergeCell ref="U47:W47"/>
    <mergeCell ref="Y47:AA47"/>
    <mergeCell ref="AB47:AD48"/>
    <mergeCell ref="BA47:BA48"/>
    <mergeCell ref="BB47:BB48"/>
    <mergeCell ref="BC47:BC48"/>
    <mergeCell ref="BD47:BD48"/>
    <mergeCell ref="BE47:BE48"/>
    <mergeCell ref="E48:F48"/>
    <mergeCell ref="G48:K48"/>
    <mergeCell ref="O48:P48"/>
    <mergeCell ref="Q48:U48"/>
    <mergeCell ref="W48:AA48"/>
    <mergeCell ref="AE47:AF48"/>
    <mergeCell ref="AG47:AJ48"/>
    <mergeCell ref="AK47:AM48"/>
    <mergeCell ref="AU47:AU48"/>
    <mergeCell ref="AV47:AV48"/>
    <mergeCell ref="AW47:AW48"/>
    <mergeCell ref="AX47:AX48"/>
    <mergeCell ref="AY47:AY48"/>
    <mergeCell ref="AZ47:AZ48"/>
    <mergeCell ref="B49:D50"/>
    <mergeCell ref="E49:F49"/>
    <mergeCell ref="G49:K49"/>
    <mergeCell ref="L49:N50"/>
    <mergeCell ref="O49:P49"/>
    <mergeCell ref="Q49:S49"/>
    <mergeCell ref="U49:W49"/>
    <mergeCell ref="Y49:AA49"/>
    <mergeCell ref="AB49:AD50"/>
    <mergeCell ref="BA49:BA50"/>
    <mergeCell ref="BB49:BB50"/>
    <mergeCell ref="BC49:BC50"/>
    <mergeCell ref="BD49:BD50"/>
    <mergeCell ref="BE49:BE50"/>
    <mergeCell ref="E50:F50"/>
    <mergeCell ref="G50:K50"/>
    <mergeCell ref="O50:P50"/>
    <mergeCell ref="Q50:U50"/>
    <mergeCell ref="W50:AA50"/>
    <mergeCell ref="AE49:AF50"/>
    <mergeCell ref="AG49:AJ50"/>
    <mergeCell ref="AK49:AM50"/>
    <mergeCell ref="AU49:AU50"/>
    <mergeCell ref="AV49:AV50"/>
    <mergeCell ref="AW49:AW50"/>
    <mergeCell ref="AX49:AX50"/>
    <mergeCell ref="AY49:AY50"/>
    <mergeCell ref="AZ49:AZ50"/>
    <mergeCell ref="B52:F52"/>
    <mergeCell ref="G52:S52"/>
    <mergeCell ref="T52:W52"/>
    <mergeCell ref="AB52:AM52"/>
    <mergeCell ref="B53:F53"/>
    <mergeCell ref="T53:W53"/>
    <mergeCell ref="AB53:AM54"/>
    <mergeCell ref="B54:F54"/>
    <mergeCell ref="T54:W54"/>
    <mergeCell ref="B55:F55"/>
    <mergeCell ref="T55:W55"/>
    <mergeCell ref="D56:F56"/>
    <mergeCell ref="G56:I56"/>
    <mergeCell ref="J56:L56"/>
    <mergeCell ref="N56:R56"/>
    <mergeCell ref="S56:U56"/>
    <mergeCell ref="B58:C67"/>
    <mergeCell ref="E59:M60"/>
    <mergeCell ref="Q59:Y60"/>
    <mergeCell ref="D66:G67"/>
    <mergeCell ref="H66:M67"/>
    <mergeCell ref="N66:U67"/>
    <mergeCell ref="V66:AA67"/>
    <mergeCell ref="AB66:AG67"/>
    <mergeCell ref="AB59:AJ60"/>
    <mergeCell ref="E61:G61"/>
    <mergeCell ref="H61:J61"/>
    <mergeCell ref="K61:M61"/>
    <mergeCell ref="Q61:S61"/>
    <mergeCell ref="T61:V61"/>
    <mergeCell ref="AB61:AD61"/>
    <mergeCell ref="AE61:AM61"/>
    <mergeCell ref="E62:G64"/>
    <mergeCell ref="H62:J64"/>
    <mergeCell ref="K62:M64"/>
    <mergeCell ref="Q62:S64"/>
    <mergeCell ref="T62:V64"/>
    <mergeCell ref="AB62:AD64"/>
  </mergeCells>
  <phoneticPr fontId="16"/>
  <conditionalFormatting sqref="L6:N6">
    <cfRule type="cellIs" dxfId="2" priority="2" operator="equal">
      <formula>""</formula>
    </cfRule>
    <cfRule type="cellIs" dxfId="1" priority="3" operator="equal">
      <formula>"営業担当"</formula>
    </cfRule>
  </conditionalFormatting>
  <conditionalFormatting sqref="AN6:AO6">
    <cfRule type="expression" priority="4">
      <formula>OR(, ISBLANK(精算区分), 精算区分="本人立替")</formula>
    </cfRule>
    <cfRule type="expression" dxfId="0" priority="5">
      <formula>NOT(OR(, ISBLANK(精算区分), 精算区分="本人立替"))</formula>
    </cfRule>
  </conditionalFormatting>
  <dataValidations count="6">
    <dataValidation allowBlank="1" showInputMessage="1" showErrorMessage="1" sqref="AN4:AS4 B6:J6 B9:D50 Q9:S9 U9:W9 Y9:AB9 AG9 AK9 Q10:Q50 W10 R11:S11 U11:W11 Y11:AB11 AG11 AK11 W12 R13:S13 U13:W13 Y13:AB13 AG13 AK13 W14 R15:S15 U15:W15 Y15:AB15 AG15 AK15 W16 R17:S17 U17:W17 Y17:AB17 AG17 AK17 W18 R19:S19 U19:W19 Y19:AB19 AG19 AK19 W20 R21:S21 U21:W21 Y21:AB21 AG21 AK21 W22 R23:S23 U23:W23 Y23:AB23 AG23 AK23 W24 R25:S25 U25:W25 Y25:AB25 AG25 AK25 W26 R27:S27 U27:W27 Y27:AB27 AG27 AK27 W28 R29:S29 U29:W29 Y29:AB29 AG29 AK29 W30 R31:S31 U31:W31 Y31:AB31 AG31 AK31 W32 R33:S33 U33:W33 Y33:AB33 AG33 AK33 W34 R35:S35 U35:W35 Y35:AB35 AG35 AK35 W36 R37:S37 U37:W37 Y37:AB37 AG37 AK37 W38 R39:S39 U39:W39 Y39:AB39 AG39 AK39 W40 R41:S41 U41:W41 Y41:AB41 AG41 AK41 W42 R43:S43 U43:W43 Y43:AB43 AG43 AK43 W44 R45:S45 U45:W45 Y45:AB45 AG45 AK45 W46 R47:S47 U47:W47 Y47:AB47 AG47 AK47 W48 R49:S49 U49:W49 Y49:AB49 AG49 AK49 W50" xr:uid="{00000000-0002-0000-0100-000000000000}">
      <formula1>0</formula1>
      <formula2>0</formula2>
    </dataValidation>
    <dataValidation allowBlank="1" showInputMessage="1" showErrorMessage="1" promptTitle="領収証No. " prompt="精算書作成者が領収証につけた番号を入力します" sqref="AT51:AU51 AW51" xr:uid="{00000000-0002-0000-0100-000001000000}">
      <formula1>0</formula1>
      <formula2>0</formula2>
    </dataValidation>
    <dataValidation type="list" allowBlank="1" showInputMessage="1" showErrorMessage="1" sqref="AE9:AF50" xr:uid="{00000000-0002-0000-0100-000002000000}">
      <formula1>"●,"</formula1>
      <formula2>0</formula2>
    </dataValidation>
    <dataValidation type="list" allowBlank="1" showInputMessage="1" showErrorMessage="1" sqref="L9:N50" xr:uid="{00000000-0002-0000-0100-000003000000}">
      <formula1>"電車・バス,タクシー"</formula1>
      <formula2>0</formula2>
    </dataValidation>
    <dataValidation type="list" allowBlank="1" showInputMessage="1" showErrorMessage="1" sqref="G9:K9 G11:K11 G13:K13 G15:K15 G17:K17 G19:K19 G21:K21 G23:K23 G25:K25 G27:K27 G29:K29 G31:K31 G33:K33 G35:K35 G37:K37 G39:K39 G41:K41 G43:K43 G45:K45 G47:K47 G49:K49" xr:uid="{00000000-0002-0000-0100-000004000000}">
      <formula1>"営業活動,客先作業,研修・セミナー参加,深夜帰宅,接待関連,その他会社業務"</formula1>
      <formula2>0</formula2>
    </dataValidation>
    <dataValidation type="list" allowBlank="1" showInputMessage="1" showErrorMessage="1" sqref="K4:N6" xr:uid="{00000000-0002-0000-0100-000005000000}">
      <formula1>"取締役会,監査役会,財務経理部,経営企画部,人事総務部,海外事業管理部"</formula1>
      <formula2>0</formula2>
    </dataValidation>
  </dataValidations>
  <pageMargins left="0.78749999999999998" right="0.196527777777778" top="0.196527777777778" bottom="0" header="0.511811023622047" footer="0.511811023622047"/>
  <pageSetup paperSize="9" scale="95" orientation="portrait" horizontalDpi="300" verticalDpi="300" r:id="rId1"/>
  <colBreaks count="1" manualBreakCount="1">
    <brk id="40" max="1048575" man="1"/>
  </colBreaks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4"/>
  <sheetViews>
    <sheetView showZeros="0" view="pageBreakPreview" topLeftCell="E1" zoomScaleNormal="100" workbookViewId="0">
      <selection activeCell="N6" sqref="N6"/>
    </sheetView>
  </sheetViews>
  <sheetFormatPr defaultColWidth="8.625" defaultRowHeight="13.5" x14ac:dyDescent="0.15"/>
  <cols>
    <col min="1" max="1" width="14.5" customWidth="1"/>
    <col min="2" max="3" width="15.375" customWidth="1"/>
    <col min="4" max="4" width="24.375" customWidth="1"/>
    <col min="5" max="5" width="22.25" style="55" customWidth="1"/>
    <col min="6" max="8" width="13.25" customWidth="1"/>
    <col min="9" max="9" width="14.625" customWidth="1"/>
    <col min="10" max="12" width="15.375" customWidth="1"/>
    <col min="13" max="13" width="13.375" customWidth="1"/>
    <col min="14" max="15" width="13.125" customWidth="1"/>
    <col min="16" max="16" width="19.75" customWidth="1"/>
    <col min="17" max="17" width="48" customWidth="1"/>
    <col min="18" max="18" width="26.75" customWidth="1"/>
    <col min="19" max="19" width="49.375" customWidth="1"/>
  </cols>
  <sheetData>
    <row r="1" spans="1:19" x14ac:dyDescent="0.15">
      <c r="A1" t="s">
        <v>70</v>
      </c>
      <c r="B1" s="56" t="s">
        <v>71</v>
      </c>
      <c r="C1" s="56" t="s">
        <v>6</v>
      </c>
      <c r="D1" s="56" t="s">
        <v>72</v>
      </c>
      <c r="E1" s="57" t="s">
        <v>12</v>
      </c>
      <c r="F1" s="56" t="s">
        <v>73</v>
      </c>
      <c r="G1" s="56" t="s">
        <v>74</v>
      </c>
      <c r="H1" s="56" t="s">
        <v>75</v>
      </c>
      <c r="I1" s="58" t="s">
        <v>76</v>
      </c>
      <c r="J1" s="56" t="s">
        <v>77</v>
      </c>
      <c r="K1" s="56" t="s">
        <v>78</v>
      </c>
      <c r="L1" s="56" t="s">
        <v>79</v>
      </c>
      <c r="M1" s="56" t="s">
        <v>80</v>
      </c>
      <c r="N1" t="s">
        <v>81</v>
      </c>
      <c r="O1" s="56" t="s">
        <v>82</v>
      </c>
      <c r="P1" t="s">
        <v>83</v>
      </c>
      <c r="Q1" t="s">
        <v>84</v>
      </c>
      <c r="R1" t="s">
        <v>85</v>
      </c>
      <c r="S1" t="s">
        <v>86</v>
      </c>
    </row>
    <row r="2" spans="1:19" x14ac:dyDescent="0.15">
      <c r="A2" s="56" t="s">
        <v>87</v>
      </c>
      <c r="B2" s="56" t="str">
        <f>'精算書（交通費）'!S4</f>
        <v>玉城基文</v>
      </c>
      <c r="C2" s="56">
        <f>'精算書（交通費）'!N4</f>
        <v>1073</v>
      </c>
      <c r="D2" s="56" t="str">
        <f>'精算書（交通費）'!J4</f>
        <v>カスタマサポートエンジニアリング部</v>
      </c>
      <c r="E2" s="55">
        <f>MAX('精算書（交通費）'!A:A)</f>
        <v>46226</v>
      </c>
      <c r="F2" t="str">
        <f>IF(D2="管理部","",IF(D2="営業部","",IF(D2="取締役会","","製造部門")))</f>
        <v>製造部門</v>
      </c>
      <c r="I2" t="s">
        <v>88</v>
      </c>
      <c r="J2" t="str">
        <f>IF(F2&lt;&gt;"","[製]"&amp;I2,I2)</f>
        <v>[製]旅費交通費</v>
      </c>
      <c r="M2" t="str">
        <f>B2</f>
        <v>玉城基文</v>
      </c>
      <c r="N2" s="59">
        <f>'精算書（交通費）'!S47</f>
        <v>4380</v>
      </c>
      <c r="O2" s="59"/>
      <c r="P2" t="s">
        <v>89</v>
      </c>
      <c r="Q2" s="60" t="str">
        <f>'精算書（交通費）'!A47</f>
        <v>電車・バス</v>
      </c>
      <c r="S2" t="str">
        <f ca="1">MID(CELL("filename"),FIND("[",CELL("filename"))+1,FIND("]",CELL("filename"))-FIND("[",CELL("filename"))-1)</f>
        <v>精算書_集（交通費）_玉城基文_202607.xlsx</v>
      </c>
    </row>
    <row r="3" spans="1:19" x14ac:dyDescent="0.15">
      <c r="A3" s="56" t="s">
        <v>87</v>
      </c>
      <c r="B3" s="56" t="str">
        <f>'精算書（交通費）'!S4</f>
        <v>玉城基文</v>
      </c>
      <c r="C3" s="56">
        <f>'精算書（交通費）'!N4</f>
        <v>1073</v>
      </c>
      <c r="D3" s="56" t="str">
        <f>'精算書（交通費）'!J4</f>
        <v>カスタマサポートエンジニアリング部</v>
      </c>
      <c r="E3" s="55">
        <f>MAX('精算書（交通費）'!A:A)</f>
        <v>46226</v>
      </c>
      <c r="F3" t="str">
        <f>IF(D3="管理部","",IF(D3="営業部","",IF(D3="取締役会","","製造部門")))</f>
        <v>製造部門</v>
      </c>
      <c r="I3" t="s">
        <v>88</v>
      </c>
      <c r="J3" t="str">
        <f>IF(F3&lt;&gt;"","[製]"&amp;I3,I3)</f>
        <v>[製]旅費交通費</v>
      </c>
      <c r="M3" t="str">
        <f>B3</f>
        <v>玉城基文</v>
      </c>
      <c r="N3" s="59">
        <f>'精算書（交通費）'!S48</f>
        <v>0</v>
      </c>
      <c r="O3" s="59"/>
      <c r="P3" t="s">
        <v>89</v>
      </c>
      <c r="Q3" s="60" t="str">
        <f>'精算書（交通費）'!A48</f>
        <v>タクシー</v>
      </c>
      <c r="S3" t="str">
        <f ca="1">MID(CELL("filename"),FIND("[",CELL("filename"))+1,FIND("]",CELL("filename"))-FIND("[",CELL("filename"))-1)</f>
        <v>精算書_集（交通費）_玉城基文_202607.xlsx</v>
      </c>
    </row>
    <row r="4" spans="1:19" x14ac:dyDescent="0.15">
      <c r="A4" s="56" t="s">
        <v>87</v>
      </c>
      <c r="B4" s="56" t="str">
        <f>'精算書（交通費）'!S4</f>
        <v>玉城基文</v>
      </c>
      <c r="C4" s="56">
        <f>'精算書（交通費）'!N4</f>
        <v>1073</v>
      </c>
      <c r="D4" s="56" t="str">
        <f>'精算書（交通費）'!J4</f>
        <v>カスタマサポートエンジニアリング部</v>
      </c>
      <c r="E4" s="55">
        <f>MAX('精算書（交通費）'!A:A)</f>
        <v>46226</v>
      </c>
      <c r="F4" t="str">
        <f>IF(D4="管理部","",IF(D4="営業部","",IF(D4="取締役会","","製造部門")))</f>
        <v>製造部門</v>
      </c>
      <c r="I4" t="s">
        <v>90</v>
      </c>
      <c r="J4" t="str">
        <f>IF(F4&lt;&gt;"","[製]"&amp;I4,I4)</f>
        <v>[製]交際費</v>
      </c>
      <c r="M4" t="str">
        <f>B4</f>
        <v>玉城基文</v>
      </c>
      <c r="N4" s="59">
        <f>'精算書（交通費）'!S49</f>
        <v>0</v>
      </c>
      <c r="O4" s="59"/>
      <c r="P4" t="s">
        <v>89</v>
      </c>
      <c r="Q4" s="60" t="str">
        <f>RIGHT('精算書（交通費）'!L49,6)</f>
        <v>他接待交際費</v>
      </c>
      <c r="S4" t="str">
        <f ca="1">MID(CELL("filename"),FIND("[",CELL("filename"))+1,FIND("]",CELL("filename"))-FIND("[",CELL("filename"))-1)</f>
        <v>精算書_集（交通費）_玉城基文_202607.xlsx</v>
      </c>
    </row>
  </sheetData>
  <phoneticPr fontId="16"/>
  <pageMargins left="0.7" right="0.7" top="0.75" bottom="0.75" header="0.511811023622047" footer="0.511811023622047"/>
  <pageSetup paperSize="9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4"/>
  <sheetViews>
    <sheetView showZeros="0" view="pageBreakPreview" zoomScaleNormal="85" workbookViewId="0">
      <selection activeCell="C18" sqref="C18"/>
    </sheetView>
  </sheetViews>
  <sheetFormatPr defaultColWidth="8.625" defaultRowHeight="13.5" x14ac:dyDescent="0.15"/>
  <cols>
    <col min="1" max="1" width="29.5" customWidth="1"/>
  </cols>
  <sheetData>
    <row r="1" spans="1:2" x14ac:dyDescent="0.15">
      <c r="A1" s="4" t="s">
        <v>91</v>
      </c>
      <c r="B1" s="4"/>
    </row>
    <row r="2" spans="1:2" ht="24" x14ac:dyDescent="0.15">
      <c r="A2" s="61" t="s">
        <v>92</v>
      </c>
      <c r="B2" s="62" t="s">
        <v>93</v>
      </c>
    </row>
    <row r="3" spans="1:2" x14ac:dyDescent="0.15">
      <c r="A3" s="63"/>
      <c r="B3" s="63">
        <v>1</v>
      </c>
    </row>
    <row r="4" spans="1:2" x14ac:dyDescent="0.15">
      <c r="A4" s="64" t="s">
        <v>94</v>
      </c>
      <c r="B4" s="64">
        <v>1</v>
      </c>
    </row>
    <row r="5" spans="1:2" x14ac:dyDescent="0.15">
      <c r="A5" s="64" t="s">
        <v>95</v>
      </c>
      <c r="B5" s="64">
        <v>1</v>
      </c>
    </row>
    <row r="6" spans="1:2" x14ac:dyDescent="0.15">
      <c r="A6" s="64" t="s">
        <v>96</v>
      </c>
      <c r="B6" s="64">
        <v>1</v>
      </c>
    </row>
    <row r="7" spans="1:2" x14ac:dyDescent="0.15">
      <c r="A7" s="64"/>
      <c r="B7" s="64"/>
    </row>
    <row r="8" spans="1:2" x14ac:dyDescent="0.15">
      <c r="A8" s="64" t="s">
        <v>97</v>
      </c>
      <c r="B8" s="64">
        <v>1</v>
      </c>
    </row>
    <row r="9" spans="1:2" x14ac:dyDescent="0.15">
      <c r="A9" s="64" t="s">
        <v>98</v>
      </c>
      <c r="B9" s="64">
        <v>1</v>
      </c>
    </row>
    <row r="10" spans="1:2" x14ac:dyDescent="0.15">
      <c r="A10" s="64" t="s">
        <v>99</v>
      </c>
      <c r="B10" s="64">
        <v>1</v>
      </c>
    </row>
    <row r="11" spans="1:2" x14ac:dyDescent="0.15">
      <c r="A11" s="64"/>
      <c r="B11" s="64"/>
    </row>
    <row r="12" spans="1:2" x14ac:dyDescent="0.15">
      <c r="A12" s="64" t="s">
        <v>9</v>
      </c>
      <c r="B12" s="64">
        <v>1</v>
      </c>
    </row>
    <row r="13" spans="1:2" x14ac:dyDescent="0.15">
      <c r="A13" s="64"/>
      <c r="B13" s="64"/>
    </row>
    <row r="14" spans="1:2" x14ac:dyDescent="0.15">
      <c r="A14" s="65" t="s">
        <v>100</v>
      </c>
      <c r="B14" s="65">
        <v>1</v>
      </c>
    </row>
  </sheetData>
  <phoneticPr fontId="16"/>
  <pageMargins left="0.7" right="0.7" top="0.75" bottom="0.75" header="0.511811023622047" footer="0.511811023622047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75</TotalTime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9</vt:i4>
      </vt:variant>
    </vt:vector>
  </HeadingPairs>
  <TitlesOfParts>
    <vt:vector size="13" baseType="lpstr">
      <vt:lpstr>精算書（交通費）</vt:lpstr>
      <vt:lpstr>記入例</vt:lpstr>
      <vt:lpstr>集計シート</vt:lpstr>
      <vt:lpstr>部門</vt:lpstr>
      <vt:lpstr>記入例!Print_Area</vt:lpstr>
      <vt:lpstr>'精算書（交通費）'!Print_Area</vt:lpstr>
      <vt:lpstr>記入例!仮払金額</vt:lpstr>
      <vt:lpstr>'精算書（交通費）'!仮払金額</vt:lpstr>
      <vt:lpstr>記入例!会社名</vt:lpstr>
      <vt:lpstr>'精算書（交通費）'!会社名</vt:lpstr>
      <vt:lpstr>記入例!精算区分</vt:lpstr>
      <vt:lpstr>'精算書（交通費）'!精算区分</vt:lpstr>
      <vt:lpstr>部門</vt:lpstr>
    </vt:vector>
  </TitlesOfParts>
  <Manager>経理G</Manager>
  <Company>株式会社サン・ジャパン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精算書（交通費）</dc:title>
  <dc:subject>Version 3.01</dc:subject>
  <dc:creator>経理部</dc:creator>
  <dc:description/>
  <cp:lastModifiedBy>33724 玉城 基文</cp:lastModifiedBy>
  <cp:revision>9</cp:revision>
  <cp:lastPrinted>2024-03-28T06:55:10Z</cp:lastPrinted>
  <dcterms:created xsi:type="dcterms:W3CDTF">1997-01-08T22:48:59Z</dcterms:created>
  <dcterms:modified xsi:type="dcterms:W3CDTF">2026-07-31T01:03:44Z</dcterms:modified>
  <dc:language>ja-JP</dc:language>
</cp:coreProperties>
</file>